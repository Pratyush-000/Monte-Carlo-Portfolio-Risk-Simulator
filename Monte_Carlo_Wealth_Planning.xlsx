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ty\Downloads\"/>
    </mc:Choice>
  </mc:AlternateContent>
  <xr:revisionPtr revIDLastSave="0" documentId="13_ncr:1_{2BF653CD-EFBA-4A91-B4F6-8F2C1E05B7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e Carlo Wealth" sheetId="1" r:id="rId1"/>
  </sheets>
  <definedNames>
    <definedName name="_xlnm._FilterDatabase" localSheetId="0" hidden="1">'Monte Carlo Wealth'!$A$12:$H$22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" i="1" l="1"/>
  <c r="O18" i="1"/>
  <c r="O17" i="1"/>
  <c r="O16" i="1"/>
  <c r="O15" i="1"/>
  <c r="O14" i="1"/>
  <c r="O13" i="1"/>
  <c r="E14" i="1"/>
  <c r="F14" i="1" s="1"/>
  <c r="E17" i="1"/>
  <c r="F17" i="1" s="1"/>
  <c r="E22" i="1"/>
  <c r="F22" i="1" s="1"/>
  <c r="E21" i="1"/>
  <c r="F21" i="1" s="1"/>
  <c r="E20" i="1"/>
  <c r="F20" i="1" s="1"/>
  <c r="E19" i="1"/>
  <c r="F19" i="1" s="1"/>
  <c r="E18" i="1"/>
  <c r="F18" i="1" s="1"/>
  <c r="E16" i="1"/>
  <c r="F16" i="1" s="1"/>
  <c r="E15" i="1"/>
  <c r="F15" i="1" s="1"/>
  <c r="E13" i="1"/>
  <c r="F13" i="1" s="1"/>
  <c r="H22" i="1"/>
  <c r="H21" i="1"/>
  <c r="H20" i="1"/>
  <c r="H19" i="1"/>
  <c r="H18" i="1"/>
  <c r="H17" i="1"/>
  <c r="H16" i="1"/>
  <c r="H15" i="1"/>
  <c r="H14" i="1"/>
  <c r="H13" i="1"/>
  <c r="B13" i="1"/>
  <c r="C13" i="1" s="1"/>
  <c r="D13" i="1" l="1"/>
  <c r="G13" i="1" s="1"/>
  <c r="B14" i="1" s="1"/>
  <c r="C14" i="1" l="1"/>
  <c r="D14" i="1" l="1"/>
  <c r="G14" i="1" s="1"/>
  <c r="B15" i="1" s="1"/>
  <c r="C15" i="1" l="1"/>
  <c r="D15" i="1" l="1"/>
  <c r="G15" i="1" s="1"/>
  <c r="B16" i="1" s="1"/>
  <c r="C16" i="1" l="1"/>
  <c r="D16" i="1" l="1"/>
  <c r="G16" i="1" s="1"/>
  <c r="B17" i="1" s="1"/>
  <c r="C17" i="1" l="1"/>
  <c r="D17" i="1" l="1"/>
  <c r="G17" i="1" s="1"/>
  <c r="B18" i="1" s="1"/>
  <c r="C18" i="1" l="1"/>
  <c r="D18" i="1" s="1"/>
  <c r="G18" i="1" l="1"/>
  <c r="B19" i="1" s="1"/>
  <c r="C19" i="1" l="1"/>
  <c r="D19" i="1" s="1"/>
  <c r="G19" i="1" l="1"/>
  <c r="B20" i="1" s="1"/>
  <c r="C20" i="1" l="1"/>
  <c r="D20" i="1" s="1"/>
  <c r="G20" i="1" l="1"/>
  <c r="B21" i="1" s="1"/>
  <c r="C21" i="1" l="1"/>
  <c r="D21" i="1" s="1"/>
  <c r="G21" i="1" l="1"/>
  <c r="B22" i="1" s="1"/>
  <c r="C22" i="1" l="1"/>
  <c r="D22" i="1" s="1"/>
  <c r="G22" i="1" l="1"/>
  <c r="I22" i="1" s="1"/>
  <c r="L12" i="1" s="1"/>
</calcChain>
</file>

<file path=xl/sharedStrings.xml><?xml version="1.0" encoding="utf-8"?>
<sst xmlns="http://schemas.openxmlformats.org/spreadsheetml/2006/main" count="28" uniqueCount="28">
  <si>
    <t>Monte Carlo Simulation for Wealth Planning</t>
  </si>
  <si>
    <t>Current Wealth</t>
  </si>
  <si>
    <t>Government bonds (risk-free assets)</t>
  </si>
  <si>
    <t>Expected annual return — Government bonds</t>
  </si>
  <si>
    <t>Equities</t>
  </si>
  <si>
    <t>Expected annual return — Equities</t>
  </si>
  <si>
    <t>Standard deviation of equity return</t>
  </si>
  <si>
    <t>Proportion invested in equities</t>
  </si>
  <si>
    <t>Annual drawdown/withdrawal</t>
  </si>
  <si>
    <t>Donation</t>
  </si>
  <si>
    <t>Year</t>
  </si>
  <si>
    <t>Wealth at Beginning of Year</t>
  </si>
  <si>
    <t>Invested in Equities</t>
  </si>
  <si>
    <t>Invested in Government Bonds</t>
  </si>
  <si>
    <t>Random Number (Standard Normal)</t>
  </si>
  <si>
    <t>1 + Return on Equities</t>
  </si>
  <si>
    <t>Wealth at End of Year</t>
  </si>
  <si>
    <t>Drawdown</t>
  </si>
  <si>
    <t>Wealth at the end of 10th year</t>
  </si>
  <si>
    <t>Simulation</t>
  </si>
  <si>
    <t>Average</t>
  </si>
  <si>
    <t>Volitility</t>
  </si>
  <si>
    <t>25 percentile</t>
  </si>
  <si>
    <t>50 percentile</t>
  </si>
  <si>
    <t>75 percentile</t>
  </si>
  <si>
    <t>95 percentile</t>
  </si>
  <si>
    <t>Prob(Successful)</t>
  </si>
  <si>
    <t xml:space="preserve">Model logic: Equity return factor = 1 + expected equity return + (standard normal random draw × equity return standard deviation). Year-end wealth reflects equity and bond growth; annual drawdown is deducted from the following year's starting wealth.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</si>
</sst>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[Red]\(#,##0.00\)"/>
    <numFmt numFmtId="165" formatCode="0.0000"/>
    <numFmt numFmtId="166" formatCode="0.000"/>
    <numFmt numFmtId="168" formatCode="#,##0.00000000;[Red]#,##0.000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FFFF"/>
      <name val="Times New Roman"/>
      <family val="1"/>
    </font>
    <font>
      <sz val="11"/>
      <color theme="1"/>
      <name val="Times New Roman"/>
      <family val="1"/>
    </font>
    <font>
      <sz val="11"/>
      <color rgb="FF0000FF"/>
      <name val="Times New Roman"/>
      <family val="1"/>
    </font>
    <font>
      <b/>
      <sz val="11"/>
      <color rgb="FF17365D"/>
      <name val="Times New Roman"/>
      <family val="1"/>
    </font>
    <font>
      <b/>
      <sz val="11"/>
      <color rgb="FFFFFFFF"/>
      <name val="Times New Roman"/>
      <family val="1"/>
    </font>
    <font>
      <i/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EAF1F8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3" fillId="0" borderId="1" xfId="0" applyFont="1" applyBorder="1"/>
    <xf numFmtId="164" fontId="4" fillId="0" borderId="1" xfId="0" applyNumberFormat="1" applyFont="1" applyBorder="1"/>
    <xf numFmtId="0" fontId="5" fillId="2" borderId="1" xfId="0" applyFont="1" applyFill="1" applyBorder="1"/>
    <xf numFmtId="9" fontId="4" fillId="0" borderId="1" xfId="0" applyNumberFormat="1" applyFont="1" applyBorder="1"/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right" vertical="center"/>
    </xf>
    <xf numFmtId="166" fontId="3" fillId="4" borderId="1" xfId="0" applyNumberFormat="1" applyFont="1" applyFill="1" applyBorder="1" applyAlignment="1">
      <alignment horizontal="center" vertical="center"/>
    </xf>
    <xf numFmtId="168" fontId="3" fillId="5" borderId="0" xfId="0" applyNumberFormat="1" applyFont="1" applyFill="1"/>
    <xf numFmtId="0" fontId="2" fillId="6" borderId="0" xfId="0" applyFont="1" applyFill="1" applyAlignment="1">
      <alignment horizontal="center"/>
    </xf>
    <xf numFmtId="0" fontId="3" fillId="6" borderId="0" xfId="0" applyFont="1" applyFill="1"/>
    <xf numFmtId="168" fontId="3" fillId="0" borderId="0" xfId="0" applyNumberFormat="1" applyFont="1"/>
    <xf numFmtId="10" fontId="3" fillId="5" borderId="0" xfId="1" applyNumberFormat="1" applyFont="1" applyFill="1"/>
    <xf numFmtId="0" fontId="7" fillId="0" borderId="0" xfId="0" applyFont="1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2"/>
  <sheetViews>
    <sheetView showGridLines="0" tabSelected="1" zoomScale="90" zoomScaleNormal="90" workbookViewId="0">
      <pane ySplit="12" topLeftCell="A13" activePane="bottomLeft" state="frozen"/>
      <selection pane="bottomLeft" activeCell="D9" sqref="D9"/>
    </sheetView>
  </sheetViews>
  <sheetFormatPr defaultRowHeight="14" x14ac:dyDescent="0.3"/>
  <cols>
    <col min="1" max="1" width="36" style="1" customWidth="1"/>
    <col min="2" max="2" width="14.90625" style="1" customWidth="1"/>
    <col min="3" max="3" width="15.08984375" style="1" customWidth="1"/>
    <col min="4" max="4" width="19.453125" style="1" customWidth="1"/>
    <col min="5" max="5" width="12.7265625" style="1" customWidth="1"/>
    <col min="6" max="6" width="17.6328125" style="1" customWidth="1"/>
    <col min="7" max="7" width="12.1796875" style="1" customWidth="1"/>
    <col min="8" max="8" width="12.36328125" style="1" customWidth="1"/>
    <col min="9" max="9" width="17.453125" style="1" bestFit="1" customWidth="1"/>
    <col min="10" max="10" width="8.7265625" style="1"/>
    <col min="11" max="11" width="10.08984375" style="1" customWidth="1"/>
    <col min="12" max="12" width="17.7265625" style="1" bestFit="1" customWidth="1"/>
    <col min="13" max="13" width="8.7265625" style="1"/>
    <col min="14" max="14" width="11.36328125" style="1" bestFit="1" customWidth="1"/>
    <col min="15" max="16384" width="8.7265625" style="1"/>
  </cols>
  <sheetData>
    <row r="1" spans="1:18" ht="20" x14ac:dyDescent="0.4">
      <c r="A1" s="15" t="s">
        <v>0</v>
      </c>
      <c r="B1" s="16"/>
      <c r="C1" s="16"/>
      <c r="D1" s="16"/>
      <c r="E1" s="16"/>
      <c r="F1" s="16"/>
      <c r="G1" s="16"/>
      <c r="H1" s="16"/>
    </row>
    <row r="2" spans="1:18" x14ac:dyDescent="0.3">
      <c r="A2" s="2" t="s">
        <v>1</v>
      </c>
      <c r="B2" s="3">
        <v>2000000</v>
      </c>
      <c r="C2" s="2"/>
      <c r="D2" s="2"/>
      <c r="E2" s="2"/>
      <c r="F2" s="2"/>
      <c r="G2" s="2"/>
      <c r="H2" s="2"/>
    </row>
    <row r="3" spans="1:18" x14ac:dyDescent="0.3">
      <c r="A3" s="4" t="s">
        <v>2</v>
      </c>
      <c r="B3" s="2"/>
      <c r="C3" s="2"/>
      <c r="D3" s="2"/>
      <c r="E3" s="2"/>
      <c r="F3" s="2"/>
      <c r="G3" s="2"/>
      <c r="H3" s="2"/>
    </row>
    <row r="4" spans="1:18" x14ac:dyDescent="0.3">
      <c r="A4" s="2" t="s">
        <v>3</v>
      </c>
      <c r="B4" s="5">
        <v>0.04</v>
      </c>
      <c r="C4" s="2"/>
      <c r="D4" s="2"/>
      <c r="E4" s="2"/>
      <c r="F4" s="2"/>
      <c r="G4" s="2"/>
      <c r="H4" s="2"/>
    </row>
    <row r="5" spans="1:18" x14ac:dyDescent="0.3">
      <c r="A5" s="4" t="s">
        <v>4</v>
      </c>
      <c r="B5" s="2"/>
      <c r="C5" s="2"/>
      <c r="D5" s="2"/>
      <c r="E5" s="2"/>
      <c r="F5" s="2"/>
      <c r="G5" s="2"/>
      <c r="H5" s="2"/>
    </row>
    <row r="6" spans="1:18" x14ac:dyDescent="0.3">
      <c r="A6" s="2" t="s">
        <v>5</v>
      </c>
      <c r="B6" s="5">
        <v>0.12</v>
      </c>
      <c r="C6" s="2"/>
      <c r="D6" s="2"/>
      <c r="E6" s="2"/>
      <c r="F6" s="2"/>
      <c r="G6" s="2"/>
      <c r="H6" s="2"/>
    </row>
    <row r="7" spans="1:18" x14ac:dyDescent="0.3">
      <c r="A7" s="2" t="s">
        <v>6</v>
      </c>
      <c r="B7" s="5">
        <v>0.3</v>
      </c>
      <c r="C7" s="2"/>
      <c r="D7" s="2"/>
      <c r="E7" s="2"/>
      <c r="F7" s="2"/>
      <c r="G7" s="2"/>
      <c r="H7" s="2"/>
    </row>
    <row r="8" spans="1:18" ht="14" customHeight="1" x14ac:dyDescent="0.3">
      <c r="A8" s="2" t="s">
        <v>7</v>
      </c>
      <c r="B8" s="5">
        <v>0.4</v>
      </c>
      <c r="C8" s="2"/>
      <c r="D8" s="2"/>
      <c r="E8" s="2"/>
      <c r="F8" s="2"/>
      <c r="G8" s="2"/>
      <c r="H8" s="2"/>
      <c r="K8" s="19" t="s">
        <v>27</v>
      </c>
      <c r="L8" s="19"/>
      <c r="M8" s="19"/>
      <c r="N8" s="19"/>
      <c r="O8" s="19"/>
      <c r="P8" s="19"/>
      <c r="Q8" s="19"/>
      <c r="R8" s="19"/>
    </row>
    <row r="9" spans="1:18" x14ac:dyDescent="0.3">
      <c r="A9" s="2" t="s">
        <v>8</v>
      </c>
      <c r="B9" s="3">
        <v>200000</v>
      </c>
      <c r="C9" s="2"/>
      <c r="D9" s="2"/>
      <c r="E9" s="2"/>
      <c r="F9" s="2"/>
      <c r="G9" s="2"/>
      <c r="H9" s="2"/>
      <c r="K9" s="19"/>
      <c r="L9" s="19"/>
      <c r="M9" s="19"/>
      <c r="N9" s="19"/>
      <c r="O9" s="19"/>
      <c r="P9" s="19"/>
      <c r="Q9" s="19"/>
      <c r="R9" s="19"/>
    </row>
    <row r="10" spans="1:18" x14ac:dyDescent="0.3">
      <c r="A10" s="2" t="s">
        <v>9</v>
      </c>
      <c r="B10" s="3"/>
      <c r="C10" s="2"/>
      <c r="D10" s="2"/>
      <c r="E10" s="2"/>
      <c r="F10" s="2"/>
      <c r="G10" s="2"/>
      <c r="H10" s="2"/>
      <c r="K10" s="19"/>
      <c r="L10" s="19"/>
      <c r="M10" s="19"/>
      <c r="N10" s="19"/>
      <c r="O10" s="19"/>
      <c r="P10" s="19"/>
      <c r="Q10" s="19"/>
      <c r="R10" s="19"/>
    </row>
    <row r="11" spans="1:18" x14ac:dyDescent="0.3">
      <c r="A11" s="2"/>
      <c r="B11" s="2"/>
      <c r="C11" s="2"/>
      <c r="D11" s="2"/>
      <c r="E11" s="2"/>
      <c r="F11" s="2"/>
      <c r="G11" s="2"/>
      <c r="H11" s="2"/>
      <c r="K11" s="19"/>
      <c r="L11" s="19"/>
      <c r="M11" s="19"/>
      <c r="N11" s="19"/>
      <c r="O11" s="19"/>
      <c r="P11" s="19"/>
      <c r="Q11" s="19"/>
      <c r="R11" s="19"/>
    </row>
    <row r="12" spans="1:18" ht="55.5" customHeight="1" x14ac:dyDescent="0.3">
      <c r="A12" s="6" t="s">
        <v>10</v>
      </c>
      <c r="B12" s="6" t="s">
        <v>11</v>
      </c>
      <c r="C12" s="6" t="s">
        <v>12</v>
      </c>
      <c r="D12" s="6" t="s">
        <v>13</v>
      </c>
      <c r="E12" s="6" t="s">
        <v>14</v>
      </c>
      <c r="F12" s="6" t="s">
        <v>15</v>
      </c>
      <c r="G12" s="6" t="s">
        <v>16</v>
      </c>
      <c r="H12" s="6" t="s">
        <v>17</v>
      </c>
      <c r="I12" s="6" t="s">
        <v>18</v>
      </c>
      <c r="K12" s="6" t="s">
        <v>19</v>
      </c>
      <c r="L12" s="17">
        <f ca="1">I22</f>
        <v>4108280.495682355</v>
      </c>
    </row>
    <row r="13" spans="1:18" ht="22" customHeight="1" x14ac:dyDescent="0.3">
      <c r="A13" s="7">
        <v>1</v>
      </c>
      <c r="B13" s="8">
        <f>$B$2</f>
        <v>2000000</v>
      </c>
      <c r="C13" s="8">
        <f t="shared" ref="C13:C22" si="0">B13*$B$8</f>
        <v>800000</v>
      </c>
      <c r="D13" s="8">
        <f t="shared" ref="D13:D22" si="1">B13-C13</f>
        <v>1200000</v>
      </c>
      <c r="E13" s="9">
        <f ca="1">_xlfn.NORM.S.INV(RAND())</f>
        <v>1.1150041200999412</v>
      </c>
      <c r="F13" s="10">
        <f t="shared" ref="F13:F22" ca="1" si="2">1+$B$6+E13*$B$7</f>
        <v>1.4545012360299825</v>
      </c>
      <c r="G13" s="8">
        <f t="shared" ref="G13:G22" ca="1" si="3">C13*F13+D13*(1+$B$4)</f>
        <v>2411600.9888239857</v>
      </c>
      <c r="H13" s="8">
        <f t="shared" ref="H13:H22" si="4">$B$9</f>
        <v>200000</v>
      </c>
      <c r="K13" s="1">
        <v>1</v>
      </c>
      <c r="L13" s="1">
        <f t="dataTable" ref="L13:L1012" dt2D="0" dtr="0" r1="E2" ca="1"/>
        <v>1343457.4518842236</v>
      </c>
      <c r="N13" s="1" t="s">
        <v>20</v>
      </c>
      <c r="O13" s="1">
        <f>AVERAGE(L13:L1012)</f>
        <v>1225496.9376745573</v>
      </c>
    </row>
    <row r="14" spans="1:18" ht="22" customHeight="1" x14ac:dyDescent="0.3">
      <c r="A14" s="11">
        <v>2</v>
      </c>
      <c r="B14" s="12">
        <f t="shared" ref="B14:B22" ca="1" si="5">G13-H13</f>
        <v>2211600.9888239857</v>
      </c>
      <c r="C14" s="12">
        <f t="shared" ca="1" si="0"/>
        <v>884640.39552959427</v>
      </c>
      <c r="D14" s="12">
        <f t="shared" ca="1" si="1"/>
        <v>1326960.5932943914</v>
      </c>
      <c r="E14" s="9">
        <f ca="1">_xlfn.NORM.S.INV(RAND())</f>
        <v>8.4783655316861023E-2</v>
      </c>
      <c r="F14" s="13">
        <f t="shared" ca="1" si="2"/>
        <v>1.1454350965950584</v>
      </c>
      <c r="G14" s="12">
        <f t="shared" ca="1" si="3"/>
        <v>2393337.1739314985</v>
      </c>
      <c r="H14" s="12">
        <f t="shared" si="4"/>
        <v>200000</v>
      </c>
      <c r="K14" s="1">
        <v>2</v>
      </c>
      <c r="L14" s="1">
        <v>1178171.2681308966</v>
      </c>
      <c r="N14" s="1" t="s">
        <v>21</v>
      </c>
      <c r="O14" s="1">
        <f>_xlfn.STDEV.S(L13:L1012)</f>
        <v>1001970.5601333799</v>
      </c>
    </row>
    <row r="15" spans="1:18" ht="22" customHeight="1" x14ac:dyDescent="0.3">
      <c r="A15" s="7">
        <v>3</v>
      </c>
      <c r="B15" s="8">
        <f t="shared" ca="1" si="5"/>
        <v>2193337.1739314985</v>
      </c>
      <c r="C15" s="8">
        <f t="shared" ca="1" si="0"/>
        <v>877334.86957259942</v>
      </c>
      <c r="D15" s="8">
        <f t="shared" ca="1" si="1"/>
        <v>1316002.3043588991</v>
      </c>
      <c r="E15" s="9">
        <f t="shared" ref="E15:E22" ca="1" si="6">_xlfn.NORM.S.INV(RAND())</f>
        <v>1.209113375679957</v>
      </c>
      <c r="F15" s="10">
        <f t="shared" ca="1" si="2"/>
        <v>1.4827340127039872</v>
      </c>
      <c r="G15" s="8">
        <f t="shared" ca="1" si="3"/>
        <v>2669496.6481797649</v>
      </c>
      <c r="H15" s="8">
        <f t="shared" si="4"/>
        <v>200000</v>
      </c>
      <c r="K15" s="1">
        <v>3</v>
      </c>
      <c r="L15" s="1">
        <v>-199393.55479988302</v>
      </c>
      <c r="N15" s="1" t="s">
        <v>22</v>
      </c>
      <c r="O15" s="1">
        <f>_xlfn.PERCENTILE.EXC(L13:L1012,0.25)</f>
        <v>494997.00082694564</v>
      </c>
    </row>
    <row r="16" spans="1:18" ht="22" customHeight="1" x14ac:dyDescent="0.3">
      <c r="A16" s="11">
        <v>4</v>
      </c>
      <c r="B16" s="12">
        <f t="shared" ca="1" si="5"/>
        <v>2469496.6481797649</v>
      </c>
      <c r="C16" s="12">
        <f t="shared" ca="1" si="0"/>
        <v>987798.65927190601</v>
      </c>
      <c r="D16" s="12">
        <f t="shared" ca="1" si="1"/>
        <v>1481697.9889078587</v>
      </c>
      <c r="E16" s="9">
        <f t="shared" ca="1" si="6"/>
        <v>0.72121287564065129</v>
      </c>
      <c r="F16" s="13">
        <f t="shared" ca="1" si="2"/>
        <v>1.3363638626921954</v>
      </c>
      <c r="G16" s="12">
        <f t="shared" ca="1" si="3"/>
        <v>2861024.3403309491</v>
      </c>
      <c r="H16" s="12">
        <f t="shared" si="4"/>
        <v>200000</v>
      </c>
      <c r="K16" s="1">
        <v>4</v>
      </c>
      <c r="L16" s="1">
        <v>212165.32508116076</v>
      </c>
      <c r="N16" s="1" t="s">
        <v>23</v>
      </c>
      <c r="O16" s="1">
        <f>_xlfn.PERCENTILE.EXC(L14:L1013,0.5)</f>
        <v>1072176.3884453853</v>
      </c>
    </row>
    <row r="17" spans="1:15" ht="22" customHeight="1" x14ac:dyDescent="0.3">
      <c r="A17" s="7">
        <v>5</v>
      </c>
      <c r="B17" s="8">
        <f t="shared" ca="1" si="5"/>
        <v>2661024.3403309491</v>
      </c>
      <c r="C17" s="8">
        <f t="shared" ca="1" si="0"/>
        <v>1064409.7361323796</v>
      </c>
      <c r="D17" s="8">
        <f t="shared" ca="1" si="1"/>
        <v>1596614.6041985694</v>
      </c>
      <c r="E17" s="9">
        <f ca="1">_xlfn.NORM.S.INV(RAND())</f>
        <v>1.9097365765701686</v>
      </c>
      <c r="F17" s="10">
        <f t="shared" ca="1" si="2"/>
        <v>1.6929209729710508</v>
      </c>
      <c r="G17" s="8">
        <f t="shared" ca="1" si="3"/>
        <v>3462440.7544995998</v>
      </c>
      <c r="H17" s="8">
        <f t="shared" si="4"/>
        <v>200000</v>
      </c>
      <c r="K17" s="1">
        <v>5</v>
      </c>
      <c r="L17" s="1">
        <v>1018178.0884016398</v>
      </c>
      <c r="N17" s="1" t="s">
        <v>24</v>
      </c>
      <c r="O17" s="1">
        <f>_xlfn.PERCENTILE.EXC(L15:L1014,0.75)</f>
        <v>1784044.4955549797</v>
      </c>
    </row>
    <row r="18" spans="1:15" ht="22" customHeight="1" x14ac:dyDescent="0.3">
      <c r="A18" s="11">
        <v>6</v>
      </c>
      <c r="B18" s="12">
        <f t="shared" ca="1" si="5"/>
        <v>3262440.7544995998</v>
      </c>
      <c r="C18" s="12">
        <f t="shared" ca="1" si="0"/>
        <v>1304976.3017998401</v>
      </c>
      <c r="D18" s="12">
        <f t="shared" ca="1" si="1"/>
        <v>1957464.4526997597</v>
      </c>
      <c r="E18" s="9">
        <f t="shared" ca="1" si="6"/>
        <v>0.7839470231372544</v>
      </c>
      <c r="F18" s="13">
        <f t="shared" ca="1" si="2"/>
        <v>1.3551841069411763</v>
      </c>
      <c r="G18" s="12">
        <f t="shared" ca="1" si="3"/>
        <v>3804246.1749417656</v>
      </c>
      <c r="H18" s="12">
        <f t="shared" si="4"/>
        <v>200000</v>
      </c>
      <c r="K18" s="1">
        <v>6</v>
      </c>
      <c r="L18" s="1">
        <v>2284299.6134456433</v>
      </c>
      <c r="N18" s="1" t="s">
        <v>25</v>
      </c>
      <c r="O18" s="1">
        <f>_xlfn.PERCENTILE.EXC(L16:L1015,0.95)</f>
        <v>3206544.9197241971</v>
      </c>
    </row>
    <row r="19" spans="1:15" ht="22" customHeight="1" x14ac:dyDescent="0.3">
      <c r="A19" s="7">
        <v>7</v>
      </c>
      <c r="B19" s="8">
        <f t="shared" ca="1" si="5"/>
        <v>3604246.1749417656</v>
      </c>
      <c r="C19" s="8">
        <f t="shared" ca="1" si="0"/>
        <v>1441698.4699767064</v>
      </c>
      <c r="D19" s="8">
        <f t="shared" ca="1" si="1"/>
        <v>2162547.7049650592</v>
      </c>
      <c r="E19" s="9">
        <f t="shared" ca="1" si="6"/>
        <v>0.96136986999763918</v>
      </c>
      <c r="F19" s="10">
        <f t="shared" ca="1" si="2"/>
        <v>1.4084109609992919</v>
      </c>
      <c r="G19" s="8">
        <f t="shared" ca="1" si="3"/>
        <v>4279553.5407347633</v>
      </c>
      <c r="H19" s="8">
        <f t="shared" si="4"/>
        <v>200000</v>
      </c>
      <c r="K19" s="1">
        <v>7</v>
      </c>
      <c r="L19" s="1">
        <v>702435.9705108956</v>
      </c>
      <c r="N19" s="1" t="s">
        <v>26</v>
      </c>
      <c r="O19" s="18">
        <f>COUNTIF(L13:L1012,"&gt;="&amp;B10)/COUNT(L13:L1012)</f>
        <v>0</v>
      </c>
    </row>
    <row r="20" spans="1:15" ht="22" customHeight="1" x14ac:dyDescent="0.3">
      <c r="A20" s="11">
        <v>8</v>
      </c>
      <c r="B20" s="12">
        <f t="shared" ca="1" si="5"/>
        <v>4079553.5407347633</v>
      </c>
      <c r="C20" s="12">
        <f t="shared" ca="1" si="0"/>
        <v>1631821.4162939053</v>
      </c>
      <c r="D20" s="12">
        <f t="shared" ca="1" si="1"/>
        <v>2447732.1244408581</v>
      </c>
      <c r="E20" s="9">
        <f t="shared" ca="1" si="6"/>
        <v>-1.8756283091696266</v>
      </c>
      <c r="F20" s="13">
        <f t="shared" ca="1" si="2"/>
        <v>0.55731150724911216</v>
      </c>
      <c r="G20" s="12">
        <f t="shared" ca="1" si="3"/>
        <v>3455074.2624946297</v>
      </c>
      <c r="H20" s="12">
        <f t="shared" si="4"/>
        <v>200000</v>
      </c>
      <c r="K20" s="1">
        <v>8</v>
      </c>
      <c r="L20" s="1">
        <v>139780.26994876598</v>
      </c>
    </row>
    <row r="21" spans="1:15" ht="22" customHeight="1" x14ac:dyDescent="0.3">
      <c r="A21" s="7">
        <v>9</v>
      </c>
      <c r="B21" s="8">
        <f t="shared" ca="1" si="5"/>
        <v>3255074.2624946297</v>
      </c>
      <c r="C21" s="8">
        <f t="shared" ca="1" si="0"/>
        <v>1302029.704997852</v>
      </c>
      <c r="D21" s="8">
        <f t="shared" ca="1" si="1"/>
        <v>1953044.5574967777</v>
      </c>
      <c r="E21" s="9">
        <f t="shared" ca="1" si="6"/>
        <v>1.1540445106744901</v>
      </c>
      <c r="F21" s="10">
        <f t="shared" ca="1" si="2"/>
        <v>1.4662133532023471</v>
      </c>
      <c r="G21" s="8">
        <f t="shared" ca="1" si="3"/>
        <v>3940219.6795306122</v>
      </c>
      <c r="H21" s="8">
        <f t="shared" si="4"/>
        <v>200000</v>
      </c>
      <c r="K21" s="1">
        <v>9</v>
      </c>
      <c r="L21" s="1">
        <v>1971125.32267839</v>
      </c>
    </row>
    <row r="22" spans="1:15" ht="22" customHeight="1" x14ac:dyDescent="0.3">
      <c r="A22" s="11">
        <v>10</v>
      </c>
      <c r="B22" s="12">
        <f t="shared" ca="1" si="5"/>
        <v>3740219.6795306122</v>
      </c>
      <c r="C22" s="12">
        <f t="shared" ca="1" si="0"/>
        <v>1496087.8718122449</v>
      </c>
      <c r="D22" s="12">
        <f t="shared" ca="1" si="1"/>
        <v>2244131.8077183673</v>
      </c>
      <c r="E22" s="9">
        <f t="shared" ca="1" si="6"/>
        <v>0.66565831427097977</v>
      </c>
      <c r="F22" s="13">
        <f t="shared" ca="1" si="2"/>
        <v>1.319697494281294</v>
      </c>
      <c r="G22" s="12">
        <f t="shared" ca="1" si="3"/>
        <v>4308280.495682355</v>
      </c>
      <c r="H22" s="12">
        <f t="shared" si="4"/>
        <v>200000</v>
      </c>
      <c r="I22" s="14">
        <f ca="1">G22-H22</f>
        <v>4108280.495682355</v>
      </c>
      <c r="K22" s="1">
        <v>10</v>
      </c>
      <c r="L22" s="1">
        <v>659677.87159228465</v>
      </c>
    </row>
    <row r="23" spans="1:15" x14ac:dyDescent="0.3">
      <c r="K23" s="1">
        <v>11</v>
      </c>
      <c r="L23" s="1">
        <v>16243.973531555414</v>
      </c>
    </row>
    <row r="24" spans="1:15" ht="16" customHeight="1" x14ac:dyDescent="0.3">
      <c r="K24" s="1">
        <v>12</v>
      </c>
      <c r="L24" s="1">
        <v>4646148.388718741</v>
      </c>
    </row>
    <row r="25" spans="1:15" x14ac:dyDescent="0.3">
      <c r="K25" s="1">
        <v>13</v>
      </c>
      <c r="L25" s="1">
        <v>257410.80196443538</v>
      </c>
    </row>
    <row r="26" spans="1:15" x14ac:dyDescent="0.3">
      <c r="K26" s="1">
        <v>14</v>
      </c>
      <c r="L26" s="1">
        <v>3137745.3988583758</v>
      </c>
    </row>
    <row r="27" spans="1:15" x14ac:dyDescent="0.3">
      <c r="K27" s="1">
        <v>15</v>
      </c>
      <c r="L27" s="1">
        <v>3336274.677969045</v>
      </c>
    </row>
    <row r="28" spans="1:15" x14ac:dyDescent="0.3">
      <c r="K28" s="1">
        <v>16</v>
      </c>
      <c r="L28" s="1">
        <v>1431122.3277486099</v>
      </c>
    </row>
    <row r="29" spans="1:15" x14ac:dyDescent="0.3">
      <c r="K29" s="1">
        <v>17</v>
      </c>
      <c r="L29" s="1">
        <v>1535665.7267507529</v>
      </c>
    </row>
    <row r="30" spans="1:15" x14ac:dyDescent="0.3">
      <c r="K30" s="1">
        <v>18</v>
      </c>
      <c r="L30" s="1">
        <v>1526343.3101873163</v>
      </c>
    </row>
    <row r="31" spans="1:15" x14ac:dyDescent="0.3">
      <c r="K31" s="1">
        <v>19</v>
      </c>
      <c r="L31" s="1">
        <v>723683.12757389934</v>
      </c>
    </row>
    <row r="32" spans="1:15" x14ac:dyDescent="0.3">
      <c r="K32" s="1">
        <v>20</v>
      </c>
      <c r="L32" s="1">
        <v>3190219.4871025295</v>
      </c>
    </row>
    <row r="33" spans="11:12" x14ac:dyDescent="0.3">
      <c r="K33" s="1">
        <v>21</v>
      </c>
      <c r="L33" s="1">
        <v>482910.039118335</v>
      </c>
    </row>
    <row r="34" spans="11:12" x14ac:dyDescent="0.3">
      <c r="K34" s="1">
        <v>22</v>
      </c>
      <c r="L34" s="1">
        <v>399588.18406232912</v>
      </c>
    </row>
    <row r="35" spans="11:12" x14ac:dyDescent="0.3">
      <c r="K35" s="1">
        <v>23</v>
      </c>
      <c r="L35" s="1">
        <v>3635751.7275633388</v>
      </c>
    </row>
    <row r="36" spans="11:12" x14ac:dyDescent="0.3">
      <c r="K36" s="1">
        <v>24</v>
      </c>
      <c r="L36" s="1">
        <v>2413616.2512607691</v>
      </c>
    </row>
    <row r="37" spans="11:12" x14ac:dyDescent="0.3">
      <c r="K37" s="1">
        <v>25</v>
      </c>
      <c r="L37" s="1">
        <v>961012.01564984815</v>
      </c>
    </row>
    <row r="38" spans="11:12" x14ac:dyDescent="0.3">
      <c r="K38" s="1">
        <v>26</v>
      </c>
      <c r="L38" s="1">
        <v>1486567.5051330025</v>
      </c>
    </row>
    <row r="39" spans="11:12" x14ac:dyDescent="0.3">
      <c r="K39" s="1">
        <v>27</v>
      </c>
      <c r="L39" s="1">
        <v>913816.36550505063</v>
      </c>
    </row>
    <row r="40" spans="11:12" x14ac:dyDescent="0.3">
      <c r="K40" s="1">
        <v>28</v>
      </c>
      <c r="L40" s="1">
        <v>3205678.3207920399</v>
      </c>
    </row>
    <row r="41" spans="11:12" x14ac:dyDescent="0.3">
      <c r="K41" s="1">
        <v>29</v>
      </c>
      <c r="L41" s="1">
        <v>2343536.2089244635</v>
      </c>
    </row>
    <row r="42" spans="11:12" x14ac:dyDescent="0.3">
      <c r="K42" s="1">
        <v>30</v>
      </c>
      <c r="L42" s="1">
        <v>1137375.227242386</v>
      </c>
    </row>
    <row r="43" spans="11:12" x14ac:dyDescent="0.3">
      <c r="K43" s="1">
        <v>31</v>
      </c>
      <c r="L43" s="1">
        <v>651216.31186598225</v>
      </c>
    </row>
    <row r="44" spans="11:12" x14ac:dyDescent="0.3">
      <c r="K44" s="1">
        <v>32</v>
      </c>
      <c r="L44" s="1">
        <v>1931033.7665088316</v>
      </c>
    </row>
    <row r="45" spans="11:12" x14ac:dyDescent="0.3">
      <c r="K45" s="1">
        <v>33</v>
      </c>
      <c r="L45" s="1">
        <v>1857427.9413522366</v>
      </c>
    </row>
    <row r="46" spans="11:12" x14ac:dyDescent="0.3">
      <c r="K46" s="1">
        <v>34</v>
      </c>
      <c r="L46" s="1">
        <v>1256531.7897637021</v>
      </c>
    </row>
    <row r="47" spans="11:12" x14ac:dyDescent="0.3">
      <c r="K47" s="1">
        <v>35</v>
      </c>
      <c r="L47" s="1">
        <v>1592188.9520367249</v>
      </c>
    </row>
    <row r="48" spans="11:12" x14ac:dyDescent="0.3">
      <c r="K48" s="1">
        <v>36</v>
      </c>
      <c r="L48" s="1">
        <v>1571641.2082907627</v>
      </c>
    </row>
    <row r="49" spans="11:12" x14ac:dyDescent="0.3">
      <c r="K49" s="1">
        <v>37</v>
      </c>
      <c r="L49" s="1">
        <v>183662.4617997075</v>
      </c>
    </row>
    <row r="50" spans="11:12" x14ac:dyDescent="0.3">
      <c r="K50" s="1">
        <v>38</v>
      </c>
      <c r="L50" s="1">
        <v>1547263.333761143</v>
      </c>
    </row>
    <row r="51" spans="11:12" x14ac:dyDescent="0.3">
      <c r="K51" s="1">
        <v>39</v>
      </c>
      <c r="L51" s="1">
        <v>651069.35251246102</v>
      </c>
    </row>
    <row r="52" spans="11:12" x14ac:dyDescent="0.3">
      <c r="K52" s="1">
        <v>40</v>
      </c>
      <c r="L52" s="1">
        <v>290727.73712332989</v>
      </c>
    </row>
    <row r="53" spans="11:12" x14ac:dyDescent="0.3">
      <c r="K53" s="1">
        <v>41</v>
      </c>
      <c r="L53" s="1">
        <v>436050.23449749919</v>
      </c>
    </row>
    <row r="54" spans="11:12" x14ac:dyDescent="0.3">
      <c r="K54" s="1">
        <v>42</v>
      </c>
      <c r="L54" s="1">
        <v>1147716.7455144115</v>
      </c>
    </row>
    <row r="55" spans="11:12" x14ac:dyDescent="0.3">
      <c r="K55" s="1">
        <v>43</v>
      </c>
      <c r="L55" s="1">
        <v>304562.27883009618</v>
      </c>
    </row>
    <row r="56" spans="11:12" x14ac:dyDescent="0.3">
      <c r="K56" s="1">
        <v>44</v>
      </c>
      <c r="L56" s="1">
        <v>2696023.5343096759</v>
      </c>
    </row>
    <row r="57" spans="11:12" x14ac:dyDescent="0.3">
      <c r="K57" s="1">
        <v>45</v>
      </c>
      <c r="L57" s="1">
        <v>576470.53251614375</v>
      </c>
    </row>
    <row r="58" spans="11:12" x14ac:dyDescent="0.3">
      <c r="K58" s="1">
        <v>46</v>
      </c>
      <c r="L58" s="1">
        <v>933282.19106616359</v>
      </c>
    </row>
    <row r="59" spans="11:12" x14ac:dyDescent="0.3">
      <c r="K59" s="1">
        <v>47</v>
      </c>
      <c r="L59" s="1">
        <v>707091.19089001114</v>
      </c>
    </row>
    <row r="60" spans="11:12" x14ac:dyDescent="0.3">
      <c r="K60" s="1">
        <v>48</v>
      </c>
      <c r="L60" s="1">
        <v>1896902.9349407617</v>
      </c>
    </row>
    <row r="61" spans="11:12" x14ac:dyDescent="0.3">
      <c r="K61" s="1">
        <v>49</v>
      </c>
      <c r="L61" s="1">
        <v>2184313.1059243106</v>
      </c>
    </row>
    <row r="62" spans="11:12" x14ac:dyDescent="0.3">
      <c r="K62" s="1">
        <v>50</v>
      </c>
      <c r="L62" s="1">
        <v>2068308.7745361426</v>
      </c>
    </row>
    <row r="63" spans="11:12" x14ac:dyDescent="0.3">
      <c r="K63" s="1">
        <v>51</v>
      </c>
      <c r="L63" s="1">
        <v>747179.48502376489</v>
      </c>
    </row>
    <row r="64" spans="11:12" x14ac:dyDescent="0.3">
      <c r="K64" s="1">
        <v>52</v>
      </c>
      <c r="L64" s="1">
        <v>1727035.7566540213</v>
      </c>
    </row>
    <row r="65" spans="11:12" x14ac:dyDescent="0.3">
      <c r="K65" s="1">
        <v>53</v>
      </c>
      <c r="L65" s="1">
        <v>1517074.321351971</v>
      </c>
    </row>
    <row r="66" spans="11:12" x14ac:dyDescent="0.3">
      <c r="K66" s="1">
        <v>54</v>
      </c>
      <c r="L66" s="1">
        <v>594210.78973316215</v>
      </c>
    </row>
    <row r="67" spans="11:12" x14ac:dyDescent="0.3">
      <c r="K67" s="1">
        <v>55</v>
      </c>
      <c r="L67" s="1">
        <v>395117.43770736502</v>
      </c>
    </row>
    <row r="68" spans="11:12" x14ac:dyDescent="0.3">
      <c r="K68" s="1">
        <v>56</v>
      </c>
      <c r="L68" s="1">
        <v>1640109.103628194</v>
      </c>
    </row>
    <row r="69" spans="11:12" x14ac:dyDescent="0.3">
      <c r="K69" s="1">
        <v>57</v>
      </c>
      <c r="L69" s="1">
        <v>2166064.9788107038</v>
      </c>
    </row>
    <row r="70" spans="11:12" x14ac:dyDescent="0.3">
      <c r="K70" s="1">
        <v>58</v>
      </c>
      <c r="L70" s="1">
        <v>2942272.6676751478</v>
      </c>
    </row>
    <row r="71" spans="11:12" x14ac:dyDescent="0.3">
      <c r="K71" s="1">
        <v>59</v>
      </c>
      <c r="L71" s="1">
        <v>452887.22733362007</v>
      </c>
    </row>
    <row r="72" spans="11:12" x14ac:dyDescent="0.3">
      <c r="K72" s="1">
        <v>60</v>
      </c>
      <c r="L72" s="1">
        <v>1241353.9683410055</v>
      </c>
    </row>
    <row r="73" spans="11:12" x14ac:dyDescent="0.3">
      <c r="K73" s="1">
        <v>61</v>
      </c>
      <c r="L73" s="1">
        <v>1245676.9787022069</v>
      </c>
    </row>
    <row r="74" spans="11:12" x14ac:dyDescent="0.3">
      <c r="K74" s="1">
        <v>62</v>
      </c>
      <c r="L74" s="1">
        <v>411620.01764103631</v>
      </c>
    </row>
    <row r="75" spans="11:12" x14ac:dyDescent="0.3">
      <c r="K75" s="1">
        <v>63</v>
      </c>
      <c r="L75" s="1">
        <v>2347660.0772820511</v>
      </c>
    </row>
    <row r="76" spans="11:12" x14ac:dyDescent="0.3">
      <c r="K76" s="1">
        <v>64</v>
      </c>
      <c r="L76" s="1">
        <v>1118199.291723585</v>
      </c>
    </row>
    <row r="77" spans="11:12" x14ac:dyDescent="0.3">
      <c r="K77" s="1">
        <v>65</v>
      </c>
      <c r="L77" s="1">
        <v>390838.32312950469</v>
      </c>
    </row>
    <row r="78" spans="11:12" x14ac:dyDescent="0.3">
      <c r="K78" s="1">
        <v>66</v>
      </c>
      <c r="L78" s="1">
        <v>84573.072777478374</v>
      </c>
    </row>
    <row r="79" spans="11:12" x14ac:dyDescent="0.3">
      <c r="K79" s="1">
        <v>67</v>
      </c>
      <c r="L79" s="1">
        <v>-276565.53649530292</v>
      </c>
    </row>
    <row r="80" spans="11:12" x14ac:dyDescent="0.3">
      <c r="K80" s="1">
        <v>68</v>
      </c>
      <c r="L80" s="1">
        <v>2285023.2028470077</v>
      </c>
    </row>
    <row r="81" spans="11:12" x14ac:dyDescent="0.3">
      <c r="K81" s="1">
        <v>69</v>
      </c>
      <c r="L81" s="1">
        <v>1179337.5430100211</v>
      </c>
    </row>
    <row r="82" spans="11:12" x14ac:dyDescent="0.3">
      <c r="K82" s="1">
        <v>70</v>
      </c>
      <c r="L82" s="1">
        <v>1258485.1709596319</v>
      </c>
    </row>
    <row r="83" spans="11:12" x14ac:dyDescent="0.3">
      <c r="K83" s="1">
        <v>71</v>
      </c>
      <c r="L83" s="1">
        <v>1105493.3221019921</v>
      </c>
    </row>
    <row r="84" spans="11:12" x14ac:dyDescent="0.3">
      <c r="K84" s="1">
        <v>72</v>
      </c>
      <c r="L84" s="1">
        <v>838124.08069358359</v>
      </c>
    </row>
    <row r="85" spans="11:12" x14ac:dyDescent="0.3">
      <c r="K85" s="1">
        <v>73</v>
      </c>
      <c r="L85" s="1">
        <v>413864.1623684431</v>
      </c>
    </row>
    <row r="86" spans="11:12" x14ac:dyDescent="0.3">
      <c r="K86" s="1">
        <v>74</v>
      </c>
      <c r="L86" s="1">
        <v>1933393.9513871255</v>
      </c>
    </row>
    <row r="87" spans="11:12" x14ac:dyDescent="0.3">
      <c r="K87" s="1">
        <v>75</v>
      </c>
      <c r="L87" s="1">
        <v>2392666.0848309272</v>
      </c>
    </row>
    <row r="88" spans="11:12" x14ac:dyDescent="0.3">
      <c r="K88" s="1">
        <v>76</v>
      </c>
      <c r="L88" s="1">
        <v>1690900.8607029743</v>
      </c>
    </row>
    <row r="89" spans="11:12" x14ac:dyDescent="0.3">
      <c r="K89" s="1">
        <v>77</v>
      </c>
      <c r="L89" s="1">
        <v>1979785.238633967</v>
      </c>
    </row>
    <row r="90" spans="11:12" x14ac:dyDescent="0.3">
      <c r="K90" s="1">
        <v>78</v>
      </c>
      <c r="L90" s="1">
        <v>1033804.4928188282</v>
      </c>
    </row>
    <row r="91" spans="11:12" x14ac:dyDescent="0.3">
      <c r="K91" s="1">
        <v>79</v>
      </c>
      <c r="L91" s="1">
        <v>2305869.2088002041</v>
      </c>
    </row>
    <row r="92" spans="11:12" x14ac:dyDescent="0.3">
      <c r="K92" s="1">
        <v>80</v>
      </c>
      <c r="L92" s="1">
        <v>2091314.202236433</v>
      </c>
    </row>
    <row r="93" spans="11:12" x14ac:dyDescent="0.3">
      <c r="K93" s="1">
        <v>81</v>
      </c>
      <c r="L93" s="1">
        <v>-40571.197009235329</v>
      </c>
    </row>
    <row r="94" spans="11:12" x14ac:dyDescent="0.3">
      <c r="K94" s="1">
        <v>82</v>
      </c>
      <c r="L94" s="1">
        <v>522081.13422029093</v>
      </c>
    </row>
    <row r="95" spans="11:12" x14ac:dyDescent="0.3">
      <c r="K95" s="1">
        <v>83</v>
      </c>
      <c r="L95" s="1">
        <v>3398171.029585165</v>
      </c>
    </row>
    <row r="96" spans="11:12" x14ac:dyDescent="0.3">
      <c r="K96" s="1">
        <v>84</v>
      </c>
      <c r="L96" s="1">
        <v>488331.21894180612</v>
      </c>
    </row>
    <row r="97" spans="11:12" x14ac:dyDescent="0.3">
      <c r="K97" s="1">
        <v>85</v>
      </c>
      <c r="L97" s="1">
        <v>1782639.7829085067</v>
      </c>
    </row>
    <row r="98" spans="11:12" x14ac:dyDescent="0.3">
      <c r="K98" s="1">
        <v>86</v>
      </c>
      <c r="L98" s="1">
        <v>2596334.7377695502</v>
      </c>
    </row>
    <row r="99" spans="11:12" x14ac:dyDescent="0.3">
      <c r="K99" s="1">
        <v>87</v>
      </c>
      <c r="L99" s="1">
        <v>409615.7522959545</v>
      </c>
    </row>
    <row r="100" spans="11:12" x14ac:dyDescent="0.3">
      <c r="K100" s="1">
        <v>88</v>
      </c>
      <c r="L100" s="1">
        <v>976343.16955495346</v>
      </c>
    </row>
    <row r="101" spans="11:12" x14ac:dyDescent="0.3">
      <c r="K101" s="1">
        <v>89</v>
      </c>
      <c r="L101" s="1">
        <v>1249486.2786854962</v>
      </c>
    </row>
    <row r="102" spans="11:12" x14ac:dyDescent="0.3">
      <c r="K102" s="1">
        <v>90</v>
      </c>
      <c r="L102" s="1">
        <v>507016.21463672468</v>
      </c>
    </row>
    <row r="103" spans="11:12" x14ac:dyDescent="0.3">
      <c r="K103" s="1">
        <v>91</v>
      </c>
      <c r="L103" s="1">
        <v>1993540.9640217801</v>
      </c>
    </row>
    <row r="104" spans="11:12" x14ac:dyDescent="0.3">
      <c r="K104" s="1">
        <v>92</v>
      </c>
      <c r="L104" s="1">
        <v>1624404.4725091858</v>
      </c>
    </row>
    <row r="105" spans="11:12" x14ac:dyDescent="0.3">
      <c r="K105" s="1">
        <v>93</v>
      </c>
      <c r="L105" s="1">
        <v>1637397.9621625124</v>
      </c>
    </row>
    <row r="106" spans="11:12" x14ac:dyDescent="0.3">
      <c r="K106" s="1">
        <v>94</v>
      </c>
      <c r="L106" s="1">
        <v>-156988.50328344255</v>
      </c>
    </row>
    <row r="107" spans="11:12" x14ac:dyDescent="0.3">
      <c r="K107" s="1">
        <v>95</v>
      </c>
      <c r="L107" s="1">
        <v>400883.05343005829</v>
      </c>
    </row>
    <row r="108" spans="11:12" x14ac:dyDescent="0.3">
      <c r="K108" s="1">
        <v>96</v>
      </c>
      <c r="L108" s="1">
        <v>769679.96087472304</v>
      </c>
    </row>
    <row r="109" spans="11:12" x14ac:dyDescent="0.3">
      <c r="K109" s="1">
        <v>97</v>
      </c>
      <c r="L109" s="1">
        <v>1038312.7340898411</v>
      </c>
    </row>
    <row r="110" spans="11:12" x14ac:dyDescent="0.3">
      <c r="K110" s="1">
        <v>98</v>
      </c>
      <c r="L110" s="1">
        <v>2860261.3535298835</v>
      </c>
    </row>
    <row r="111" spans="11:12" x14ac:dyDescent="0.3">
      <c r="K111" s="1">
        <v>99</v>
      </c>
      <c r="L111" s="1">
        <v>-141287.18240357912</v>
      </c>
    </row>
    <row r="112" spans="11:12" x14ac:dyDescent="0.3">
      <c r="K112" s="1">
        <v>100</v>
      </c>
      <c r="L112" s="1">
        <v>1918528.2519719112</v>
      </c>
    </row>
    <row r="113" spans="11:12" x14ac:dyDescent="0.3">
      <c r="K113" s="1">
        <v>101</v>
      </c>
      <c r="L113" s="1">
        <v>737871.45183424186</v>
      </c>
    </row>
    <row r="114" spans="11:12" x14ac:dyDescent="0.3">
      <c r="K114" s="1">
        <v>102</v>
      </c>
      <c r="L114" s="1">
        <v>426562.66117978632</v>
      </c>
    </row>
    <row r="115" spans="11:12" x14ac:dyDescent="0.3">
      <c r="K115" s="1">
        <v>103</v>
      </c>
      <c r="L115" s="1">
        <v>73062.054945955169</v>
      </c>
    </row>
    <row r="116" spans="11:12" x14ac:dyDescent="0.3">
      <c r="K116" s="1">
        <v>104</v>
      </c>
      <c r="L116" s="1">
        <v>774276.19343971694</v>
      </c>
    </row>
    <row r="117" spans="11:12" x14ac:dyDescent="0.3">
      <c r="K117" s="1">
        <v>105</v>
      </c>
      <c r="L117" s="1">
        <v>396605.03389109392</v>
      </c>
    </row>
    <row r="118" spans="11:12" x14ac:dyDescent="0.3">
      <c r="K118" s="1">
        <v>106</v>
      </c>
      <c r="L118" s="1">
        <v>1556574.6707646733</v>
      </c>
    </row>
    <row r="119" spans="11:12" x14ac:dyDescent="0.3">
      <c r="K119" s="1">
        <v>107</v>
      </c>
      <c r="L119" s="1">
        <v>72764.385608234792</v>
      </c>
    </row>
    <row r="120" spans="11:12" x14ac:dyDescent="0.3">
      <c r="K120" s="1">
        <v>108</v>
      </c>
      <c r="L120" s="1">
        <v>148828.41190942004</v>
      </c>
    </row>
    <row r="121" spans="11:12" x14ac:dyDescent="0.3">
      <c r="K121" s="1">
        <v>109</v>
      </c>
      <c r="L121" s="1">
        <v>1934670.5443257941</v>
      </c>
    </row>
    <row r="122" spans="11:12" x14ac:dyDescent="0.3">
      <c r="K122" s="1">
        <v>110</v>
      </c>
      <c r="L122" s="1">
        <v>605177.03049849696</v>
      </c>
    </row>
    <row r="123" spans="11:12" x14ac:dyDescent="0.3">
      <c r="K123" s="1">
        <v>111</v>
      </c>
      <c r="L123" s="1">
        <v>1074334.8937996649</v>
      </c>
    </row>
    <row r="124" spans="11:12" x14ac:dyDescent="0.3">
      <c r="K124" s="1">
        <v>112</v>
      </c>
      <c r="L124" s="1">
        <v>2996374.7243756433</v>
      </c>
    </row>
    <row r="125" spans="11:12" x14ac:dyDescent="0.3">
      <c r="K125" s="1">
        <v>113</v>
      </c>
      <c r="L125" s="1">
        <v>-30161.115655772737</v>
      </c>
    </row>
    <row r="126" spans="11:12" x14ac:dyDescent="0.3">
      <c r="K126" s="1">
        <v>114</v>
      </c>
      <c r="L126" s="1">
        <v>2397018.451848587</v>
      </c>
    </row>
    <row r="127" spans="11:12" x14ac:dyDescent="0.3">
      <c r="K127" s="1">
        <v>115</v>
      </c>
      <c r="L127" s="1">
        <v>1276597.7263244917</v>
      </c>
    </row>
    <row r="128" spans="11:12" x14ac:dyDescent="0.3">
      <c r="K128" s="1">
        <v>116</v>
      </c>
      <c r="L128" s="1">
        <v>2468309.54803182</v>
      </c>
    </row>
    <row r="129" spans="11:12" x14ac:dyDescent="0.3">
      <c r="K129" s="1">
        <v>117</v>
      </c>
      <c r="L129" s="1">
        <v>-146673.94242739442</v>
      </c>
    </row>
    <row r="130" spans="11:12" x14ac:dyDescent="0.3">
      <c r="K130" s="1">
        <v>118</v>
      </c>
      <c r="L130" s="1">
        <v>550607.65009699948</v>
      </c>
    </row>
    <row r="131" spans="11:12" x14ac:dyDescent="0.3">
      <c r="K131" s="1">
        <v>119</v>
      </c>
      <c r="L131" s="1">
        <v>1303034.514271582</v>
      </c>
    </row>
    <row r="132" spans="11:12" x14ac:dyDescent="0.3">
      <c r="K132" s="1">
        <v>120</v>
      </c>
      <c r="L132" s="1">
        <v>-261741.5935592326</v>
      </c>
    </row>
    <row r="133" spans="11:12" x14ac:dyDescent="0.3">
      <c r="K133" s="1">
        <v>121</v>
      </c>
      <c r="L133" s="1">
        <v>3426160.5802990994</v>
      </c>
    </row>
    <row r="134" spans="11:12" x14ac:dyDescent="0.3">
      <c r="K134" s="1">
        <v>122</v>
      </c>
      <c r="L134" s="1">
        <v>473561.4516349152</v>
      </c>
    </row>
    <row r="135" spans="11:12" x14ac:dyDescent="0.3">
      <c r="K135" s="1">
        <v>123</v>
      </c>
      <c r="L135" s="1">
        <v>1261479.6547376383</v>
      </c>
    </row>
    <row r="136" spans="11:12" x14ac:dyDescent="0.3">
      <c r="K136" s="1">
        <v>124</v>
      </c>
      <c r="L136" s="1">
        <v>461482.04069627565</v>
      </c>
    </row>
    <row r="137" spans="11:12" x14ac:dyDescent="0.3">
      <c r="K137" s="1">
        <v>125</v>
      </c>
      <c r="L137" s="1">
        <v>-72577.295862537372</v>
      </c>
    </row>
    <row r="138" spans="11:12" x14ac:dyDescent="0.3">
      <c r="K138" s="1">
        <v>126</v>
      </c>
      <c r="L138" s="1">
        <v>1879291.4123405358</v>
      </c>
    </row>
    <row r="139" spans="11:12" x14ac:dyDescent="0.3">
      <c r="K139" s="1">
        <v>127</v>
      </c>
      <c r="L139" s="1">
        <v>2377760.2184449448</v>
      </c>
    </row>
    <row r="140" spans="11:12" x14ac:dyDescent="0.3">
      <c r="K140" s="1">
        <v>128</v>
      </c>
      <c r="L140" s="1">
        <v>28396.083612834162</v>
      </c>
    </row>
    <row r="141" spans="11:12" x14ac:dyDescent="0.3">
      <c r="K141" s="1">
        <v>129</v>
      </c>
      <c r="L141" s="1">
        <v>1114825.2670571697</v>
      </c>
    </row>
    <row r="142" spans="11:12" x14ac:dyDescent="0.3">
      <c r="K142" s="1">
        <v>130</v>
      </c>
      <c r="L142" s="1">
        <v>1808362.536642482</v>
      </c>
    </row>
    <row r="143" spans="11:12" x14ac:dyDescent="0.3">
      <c r="K143" s="1">
        <v>131</v>
      </c>
      <c r="L143" s="1">
        <v>1197452.8717551171</v>
      </c>
    </row>
    <row r="144" spans="11:12" x14ac:dyDescent="0.3">
      <c r="K144" s="1">
        <v>132</v>
      </c>
      <c r="L144" s="1">
        <v>384207.63747525774</v>
      </c>
    </row>
    <row r="145" spans="11:12" x14ac:dyDescent="0.3">
      <c r="K145" s="1">
        <v>133</v>
      </c>
      <c r="L145" s="1">
        <v>566424.10647885932</v>
      </c>
    </row>
    <row r="146" spans="11:12" x14ac:dyDescent="0.3">
      <c r="K146" s="1">
        <v>134</v>
      </c>
      <c r="L146" s="1">
        <v>876543.0566833904</v>
      </c>
    </row>
    <row r="147" spans="11:12" x14ac:dyDescent="0.3">
      <c r="K147" s="1">
        <v>135</v>
      </c>
      <c r="L147" s="1">
        <v>1827249.2160626396</v>
      </c>
    </row>
    <row r="148" spans="11:12" x14ac:dyDescent="0.3">
      <c r="K148" s="1">
        <v>136</v>
      </c>
      <c r="L148" s="1">
        <v>1255082.397331452</v>
      </c>
    </row>
    <row r="149" spans="11:12" x14ac:dyDescent="0.3">
      <c r="K149" s="1">
        <v>137</v>
      </c>
      <c r="L149" s="1">
        <v>1479458.4130273769</v>
      </c>
    </row>
    <row r="150" spans="11:12" x14ac:dyDescent="0.3">
      <c r="K150" s="1">
        <v>138</v>
      </c>
      <c r="L150" s="1">
        <v>220574.82758294023</v>
      </c>
    </row>
    <row r="151" spans="11:12" x14ac:dyDescent="0.3">
      <c r="K151" s="1">
        <v>139</v>
      </c>
      <c r="L151" s="1">
        <v>982212.62834389042</v>
      </c>
    </row>
    <row r="152" spans="11:12" x14ac:dyDescent="0.3">
      <c r="K152" s="1">
        <v>140</v>
      </c>
      <c r="L152" s="1">
        <v>910268.80394026544</v>
      </c>
    </row>
    <row r="153" spans="11:12" x14ac:dyDescent="0.3">
      <c r="K153" s="1">
        <v>141</v>
      </c>
      <c r="L153" s="1">
        <v>841523.90497790999</v>
      </c>
    </row>
    <row r="154" spans="11:12" x14ac:dyDescent="0.3">
      <c r="K154" s="1">
        <v>142</v>
      </c>
      <c r="L154" s="1">
        <v>1672954.9625983634</v>
      </c>
    </row>
    <row r="155" spans="11:12" x14ac:dyDescent="0.3">
      <c r="K155" s="1">
        <v>143</v>
      </c>
      <c r="L155" s="1">
        <v>2391651.861321216</v>
      </c>
    </row>
    <row r="156" spans="11:12" x14ac:dyDescent="0.3">
      <c r="K156" s="1">
        <v>144</v>
      </c>
      <c r="L156" s="1">
        <v>1267729.5599823862</v>
      </c>
    </row>
    <row r="157" spans="11:12" x14ac:dyDescent="0.3">
      <c r="K157" s="1">
        <v>145</v>
      </c>
      <c r="L157" s="1">
        <v>1187660.8096259073</v>
      </c>
    </row>
    <row r="158" spans="11:12" x14ac:dyDescent="0.3">
      <c r="K158" s="1">
        <v>146</v>
      </c>
      <c r="L158" s="1">
        <v>2654474.8975039008</v>
      </c>
    </row>
    <row r="159" spans="11:12" x14ac:dyDescent="0.3">
      <c r="K159" s="1">
        <v>147</v>
      </c>
      <c r="L159" s="1">
        <v>263641.54987740587</v>
      </c>
    </row>
    <row r="160" spans="11:12" x14ac:dyDescent="0.3">
      <c r="K160" s="1">
        <v>148</v>
      </c>
      <c r="L160" s="1">
        <v>-137552.87991209346</v>
      </c>
    </row>
    <row r="161" spans="11:12" x14ac:dyDescent="0.3">
      <c r="K161" s="1">
        <v>149</v>
      </c>
      <c r="L161" s="1">
        <v>1222629.503939935</v>
      </c>
    </row>
    <row r="162" spans="11:12" x14ac:dyDescent="0.3">
      <c r="K162" s="1">
        <v>150</v>
      </c>
      <c r="L162" s="1">
        <v>1607145.9067517282</v>
      </c>
    </row>
    <row r="163" spans="11:12" x14ac:dyDescent="0.3">
      <c r="K163" s="1">
        <v>151</v>
      </c>
      <c r="L163" s="1">
        <v>-407848.91650180402</v>
      </c>
    </row>
    <row r="164" spans="11:12" x14ac:dyDescent="0.3">
      <c r="K164" s="1">
        <v>152</v>
      </c>
      <c r="L164" s="1">
        <v>1092739.5683200257</v>
      </c>
    </row>
    <row r="165" spans="11:12" x14ac:dyDescent="0.3">
      <c r="K165" s="1">
        <v>153</v>
      </c>
      <c r="L165" s="1">
        <v>2997713.4523872323</v>
      </c>
    </row>
    <row r="166" spans="11:12" x14ac:dyDescent="0.3">
      <c r="K166" s="1">
        <v>154</v>
      </c>
      <c r="L166" s="1">
        <v>2624988.3962787916</v>
      </c>
    </row>
    <row r="167" spans="11:12" x14ac:dyDescent="0.3">
      <c r="K167" s="1">
        <v>155</v>
      </c>
      <c r="L167" s="1">
        <v>1456610.5243591254</v>
      </c>
    </row>
    <row r="168" spans="11:12" x14ac:dyDescent="0.3">
      <c r="K168" s="1">
        <v>156</v>
      </c>
      <c r="L168" s="1">
        <v>270792.40913909819</v>
      </c>
    </row>
    <row r="169" spans="11:12" x14ac:dyDescent="0.3">
      <c r="K169" s="1">
        <v>157</v>
      </c>
      <c r="L169" s="1">
        <v>361542.19362211716</v>
      </c>
    </row>
    <row r="170" spans="11:12" x14ac:dyDescent="0.3">
      <c r="K170" s="1">
        <v>158</v>
      </c>
      <c r="L170" s="1">
        <v>3439286.7595066694</v>
      </c>
    </row>
    <row r="171" spans="11:12" x14ac:dyDescent="0.3">
      <c r="K171" s="1">
        <v>159</v>
      </c>
      <c r="L171" s="1">
        <v>94419.33059084561</v>
      </c>
    </row>
    <row r="172" spans="11:12" x14ac:dyDescent="0.3">
      <c r="K172" s="1">
        <v>160</v>
      </c>
      <c r="L172" s="1">
        <v>1450585.1655744044</v>
      </c>
    </row>
    <row r="173" spans="11:12" x14ac:dyDescent="0.3">
      <c r="K173" s="1">
        <v>161</v>
      </c>
      <c r="L173" s="1">
        <v>1391646.2474018717</v>
      </c>
    </row>
    <row r="174" spans="11:12" x14ac:dyDescent="0.3">
      <c r="K174" s="1">
        <v>162</v>
      </c>
      <c r="L174" s="1">
        <v>2407902.1200117613</v>
      </c>
    </row>
    <row r="175" spans="11:12" x14ac:dyDescent="0.3">
      <c r="K175" s="1">
        <v>163</v>
      </c>
      <c r="L175" s="1">
        <v>2099937.8043629788</v>
      </c>
    </row>
    <row r="176" spans="11:12" x14ac:dyDescent="0.3">
      <c r="K176" s="1">
        <v>164</v>
      </c>
      <c r="L176" s="1">
        <v>-44622.362386272114</v>
      </c>
    </row>
    <row r="177" spans="11:12" x14ac:dyDescent="0.3">
      <c r="K177" s="1">
        <v>165</v>
      </c>
      <c r="L177" s="1">
        <v>1123272.82573923</v>
      </c>
    </row>
    <row r="178" spans="11:12" x14ac:dyDescent="0.3">
      <c r="K178" s="1">
        <v>166</v>
      </c>
      <c r="L178" s="1">
        <v>938683.30442450754</v>
      </c>
    </row>
    <row r="179" spans="11:12" x14ac:dyDescent="0.3">
      <c r="K179" s="1">
        <v>167</v>
      </c>
      <c r="L179" s="1">
        <v>-308848.26198615541</v>
      </c>
    </row>
    <row r="180" spans="11:12" x14ac:dyDescent="0.3">
      <c r="K180" s="1">
        <v>168</v>
      </c>
      <c r="L180" s="1">
        <v>-2350.9927005322534</v>
      </c>
    </row>
    <row r="181" spans="11:12" x14ac:dyDescent="0.3">
      <c r="K181" s="1">
        <v>169</v>
      </c>
      <c r="L181" s="1">
        <v>1712281.3043059427</v>
      </c>
    </row>
    <row r="182" spans="11:12" x14ac:dyDescent="0.3">
      <c r="K182" s="1">
        <v>170</v>
      </c>
      <c r="L182" s="1">
        <v>275643.21300284017</v>
      </c>
    </row>
    <row r="183" spans="11:12" x14ac:dyDescent="0.3">
      <c r="K183" s="1">
        <v>171</v>
      </c>
      <c r="L183" s="1">
        <v>69499.142814213526</v>
      </c>
    </row>
    <row r="184" spans="11:12" x14ac:dyDescent="0.3">
      <c r="K184" s="1">
        <v>172</v>
      </c>
      <c r="L184" s="1">
        <v>737322.49707054021</v>
      </c>
    </row>
    <row r="185" spans="11:12" x14ac:dyDescent="0.3">
      <c r="K185" s="1">
        <v>173</v>
      </c>
      <c r="L185" s="1">
        <v>2788971.1630886248</v>
      </c>
    </row>
    <row r="186" spans="11:12" x14ac:dyDescent="0.3">
      <c r="K186" s="1">
        <v>174</v>
      </c>
      <c r="L186" s="1">
        <v>2344761.255067057</v>
      </c>
    </row>
    <row r="187" spans="11:12" x14ac:dyDescent="0.3">
      <c r="K187" s="1">
        <v>175</v>
      </c>
      <c r="L187" s="1">
        <v>956383.92150888639</v>
      </c>
    </row>
    <row r="188" spans="11:12" x14ac:dyDescent="0.3">
      <c r="K188" s="1">
        <v>176</v>
      </c>
      <c r="L188" s="1">
        <v>1093198.8149039592</v>
      </c>
    </row>
    <row r="189" spans="11:12" x14ac:dyDescent="0.3">
      <c r="K189" s="1">
        <v>177</v>
      </c>
      <c r="L189" s="1">
        <v>1304131.2720845188</v>
      </c>
    </row>
    <row r="190" spans="11:12" x14ac:dyDescent="0.3">
      <c r="K190" s="1">
        <v>178</v>
      </c>
      <c r="L190" s="1">
        <v>1374479.3984851555</v>
      </c>
    </row>
    <row r="191" spans="11:12" x14ac:dyDescent="0.3">
      <c r="K191" s="1">
        <v>179</v>
      </c>
      <c r="L191" s="1">
        <v>826385.10715756484</v>
      </c>
    </row>
    <row r="192" spans="11:12" x14ac:dyDescent="0.3">
      <c r="K192" s="1">
        <v>180</v>
      </c>
      <c r="L192" s="1">
        <v>2422364.6244304557</v>
      </c>
    </row>
    <row r="193" spans="11:12" x14ac:dyDescent="0.3">
      <c r="K193" s="1">
        <v>181</v>
      </c>
      <c r="L193" s="1">
        <v>236498.72654148214</v>
      </c>
    </row>
    <row r="194" spans="11:12" x14ac:dyDescent="0.3">
      <c r="K194" s="1">
        <v>182</v>
      </c>
      <c r="L194" s="1">
        <v>591382.11206939991</v>
      </c>
    </row>
    <row r="195" spans="11:12" x14ac:dyDescent="0.3">
      <c r="K195" s="1">
        <v>183</v>
      </c>
      <c r="L195" s="1">
        <v>144073.24093133927</v>
      </c>
    </row>
    <row r="196" spans="11:12" x14ac:dyDescent="0.3">
      <c r="K196" s="1">
        <v>184</v>
      </c>
      <c r="L196" s="1">
        <v>2859550.191687868</v>
      </c>
    </row>
    <row r="197" spans="11:12" x14ac:dyDescent="0.3">
      <c r="K197" s="1">
        <v>185</v>
      </c>
      <c r="L197" s="1">
        <v>637524.07137277152</v>
      </c>
    </row>
    <row r="198" spans="11:12" x14ac:dyDescent="0.3">
      <c r="K198" s="1">
        <v>186</v>
      </c>
      <c r="L198" s="1">
        <v>374865.64374672761</v>
      </c>
    </row>
    <row r="199" spans="11:12" x14ac:dyDescent="0.3">
      <c r="K199" s="1">
        <v>187</v>
      </c>
      <c r="L199" s="1">
        <v>1428356.5190094584</v>
      </c>
    </row>
    <row r="200" spans="11:12" x14ac:dyDescent="0.3">
      <c r="K200" s="1">
        <v>188</v>
      </c>
      <c r="L200" s="1">
        <v>2342094.0475212485</v>
      </c>
    </row>
    <row r="201" spans="11:12" x14ac:dyDescent="0.3">
      <c r="K201" s="1">
        <v>189</v>
      </c>
      <c r="L201" s="1">
        <v>395096.05824057222</v>
      </c>
    </row>
    <row r="202" spans="11:12" x14ac:dyDescent="0.3">
      <c r="K202" s="1">
        <v>190</v>
      </c>
      <c r="L202" s="1">
        <v>396246.16555523779</v>
      </c>
    </row>
    <row r="203" spans="11:12" x14ac:dyDescent="0.3">
      <c r="K203" s="1">
        <v>191</v>
      </c>
      <c r="L203" s="1">
        <v>1168404.8136567036</v>
      </c>
    </row>
    <row r="204" spans="11:12" x14ac:dyDescent="0.3">
      <c r="K204" s="1">
        <v>192</v>
      </c>
      <c r="L204" s="1">
        <v>1051563.3869885528</v>
      </c>
    </row>
    <row r="205" spans="11:12" x14ac:dyDescent="0.3">
      <c r="K205" s="1">
        <v>193</v>
      </c>
      <c r="L205" s="1">
        <v>1041180.6861060525</v>
      </c>
    </row>
    <row r="206" spans="11:12" x14ac:dyDescent="0.3">
      <c r="K206" s="1">
        <v>194</v>
      </c>
      <c r="L206" s="1">
        <v>-150030.56081554198</v>
      </c>
    </row>
    <row r="207" spans="11:12" x14ac:dyDescent="0.3">
      <c r="K207" s="1">
        <v>195</v>
      </c>
      <c r="L207" s="1">
        <v>115492.15588628844</v>
      </c>
    </row>
    <row r="208" spans="11:12" x14ac:dyDescent="0.3">
      <c r="K208" s="1">
        <v>196</v>
      </c>
      <c r="L208" s="1">
        <v>2413940.6941282046</v>
      </c>
    </row>
    <row r="209" spans="11:12" x14ac:dyDescent="0.3">
      <c r="K209" s="1">
        <v>197</v>
      </c>
      <c r="L209" s="1">
        <v>524794.89615827031</v>
      </c>
    </row>
    <row r="210" spans="11:12" x14ac:dyDescent="0.3">
      <c r="K210" s="1">
        <v>198</v>
      </c>
      <c r="L210" s="1">
        <v>13238.957561157236</v>
      </c>
    </row>
    <row r="211" spans="11:12" x14ac:dyDescent="0.3">
      <c r="K211" s="1">
        <v>199</v>
      </c>
      <c r="L211" s="1">
        <v>700154.40861595445</v>
      </c>
    </row>
    <row r="212" spans="11:12" x14ac:dyDescent="0.3">
      <c r="K212" s="1">
        <v>200</v>
      </c>
      <c r="L212" s="1">
        <v>1494436.6926253261</v>
      </c>
    </row>
    <row r="213" spans="11:12" x14ac:dyDescent="0.3">
      <c r="K213" s="1">
        <v>201</v>
      </c>
      <c r="L213" s="1">
        <v>133977.25421824952</v>
      </c>
    </row>
    <row r="214" spans="11:12" x14ac:dyDescent="0.3">
      <c r="K214" s="1">
        <v>202</v>
      </c>
      <c r="L214" s="1">
        <v>521694.95212166733</v>
      </c>
    </row>
    <row r="215" spans="11:12" x14ac:dyDescent="0.3">
      <c r="K215" s="1">
        <v>203</v>
      </c>
      <c r="L215" s="1">
        <v>780349.64997679472</v>
      </c>
    </row>
    <row r="216" spans="11:12" x14ac:dyDescent="0.3">
      <c r="K216" s="1">
        <v>204</v>
      </c>
      <c r="L216" s="1">
        <v>1825011.447963336</v>
      </c>
    </row>
    <row r="217" spans="11:12" x14ac:dyDescent="0.3">
      <c r="K217" s="1">
        <v>205</v>
      </c>
      <c r="L217" s="1">
        <v>993796.77094570734</v>
      </c>
    </row>
    <row r="218" spans="11:12" x14ac:dyDescent="0.3">
      <c r="K218" s="1">
        <v>206</v>
      </c>
      <c r="L218" s="1">
        <v>162964.60823949089</v>
      </c>
    </row>
    <row r="219" spans="11:12" x14ac:dyDescent="0.3">
      <c r="K219" s="1">
        <v>207</v>
      </c>
      <c r="L219" s="1">
        <v>-50362.120066489646</v>
      </c>
    </row>
    <row r="220" spans="11:12" x14ac:dyDescent="0.3">
      <c r="K220" s="1">
        <v>208</v>
      </c>
      <c r="L220" s="1">
        <v>2232178.1985096657</v>
      </c>
    </row>
    <row r="221" spans="11:12" x14ac:dyDescent="0.3">
      <c r="K221" s="1">
        <v>209</v>
      </c>
      <c r="L221" s="1">
        <v>1191424.3272909829</v>
      </c>
    </row>
    <row r="222" spans="11:12" x14ac:dyDescent="0.3">
      <c r="K222" s="1">
        <v>210</v>
      </c>
      <c r="L222" s="1">
        <v>54005.327929417836</v>
      </c>
    </row>
    <row r="223" spans="11:12" x14ac:dyDescent="0.3">
      <c r="K223" s="1">
        <v>211</v>
      </c>
      <c r="L223" s="1">
        <v>767358.98422166379</v>
      </c>
    </row>
    <row r="224" spans="11:12" x14ac:dyDescent="0.3">
      <c r="K224" s="1">
        <v>212</v>
      </c>
      <c r="L224" s="1">
        <v>424607.96771640028</v>
      </c>
    </row>
    <row r="225" spans="11:12" x14ac:dyDescent="0.3">
      <c r="K225" s="1">
        <v>213</v>
      </c>
      <c r="L225" s="1">
        <v>2112753.6045935559</v>
      </c>
    </row>
    <row r="226" spans="11:12" x14ac:dyDescent="0.3">
      <c r="K226" s="1">
        <v>214</v>
      </c>
      <c r="L226" s="1">
        <v>1412426.7482347693</v>
      </c>
    </row>
    <row r="227" spans="11:12" x14ac:dyDescent="0.3">
      <c r="K227" s="1">
        <v>215</v>
      </c>
      <c r="L227" s="1">
        <v>559203.45295965648</v>
      </c>
    </row>
    <row r="228" spans="11:12" x14ac:dyDescent="0.3">
      <c r="K228" s="1">
        <v>216</v>
      </c>
      <c r="L228" s="1">
        <v>1204431.0024796654</v>
      </c>
    </row>
    <row r="229" spans="11:12" x14ac:dyDescent="0.3">
      <c r="K229" s="1">
        <v>217</v>
      </c>
      <c r="L229" s="1">
        <v>907033.96755054034</v>
      </c>
    </row>
    <row r="230" spans="11:12" x14ac:dyDescent="0.3">
      <c r="K230" s="1">
        <v>218</v>
      </c>
      <c r="L230" s="1">
        <v>183811.46541231225</v>
      </c>
    </row>
    <row r="231" spans="11:12" x14ac:dyDescent="0.3">
      <c r="K231" s="1">
        <v>219</v>
      </c>
      <c r="L231" s="1">
        <v>3222994.8069810048</v>
      </c>
    </row>
    <row r="232" spans="11:12" x14ac:dyDescent="0.3">
      <c r="K232" s="1">
        <v>220</v>
      </c>
      <c r="L232" s="1">
        <v>1090295.3079190892</v>
      </c>
    </row>
    <row r="233" spans="11:12" x14ac:dyDescent="0.3">
      <c r="K233" s="1">
        <v>221</v>
      </c>
      <c r="L233" s="1">
        <v>4852492.4374316614</v>
      </c>
    </row>
    <row r="234" spans="11:12" x14ac:dyDescent="0.3">
      <c r="K234" s="1">
        <v>222</v>
      </c>
      <c r="L234" s="1">
        <v>2181791.6988550676</v>
      </c>
    </row>
    <row r="235" spans="11:12" x14ac:dyDescent="0.3">
      <c r="K235" s="1">
        <v>223</v>
      </c>
      <c r="L235" s="1">
        <v>609436.26928927877</v>
      </c>
    </row>
    <row r="236" spans="11:12" x14ac:dyDescent="0.3">
      <c r="K236" s="1">
        <v>224</v>
      </c>
      <c r="L236" s="1">
        <v>961987.41296013584</v>
      </c>
    </row>
    <row r="237" spans="11:12" x14ac:dyDescent="0.3">
      <c r="K237" s="1">
        <v>225</v>
      </c>
      <c r="L237" s="1">
        <v>295129.08201392298</v>
      </c>
    </row>
    <row r="238" spans="11:12" x14ac:dyDescent="0.3">
      <c r="K238" s="1">
        <v>226</v>
      </c>
      <c r="L238" s="1">
        <v>600139.47684945539</v>
      </c>
    </row>
    <row r="239" spans="11:12" x14ac:dyDescent="0.3">
      <c r="K239" s="1">
        <v>227</v>
      </c>
      <c r="L239" s="1">
        <v>-61238.825694896659</v>
      </c>
    </row>
    <row r="240" spans="11:12" x14ac:dyDescent="0.3">
      <c r="K240" s="1">
        <v>228</v>
      </c>
      <c r="L240" s="1">
        <v>324168.17014410958</v>
      </c>
    </row>
    <row r="241" spans="11:12" x14ac:dyDescent="0.3">
      <c r="K241" s="1">
        <v>229</v>
      </c>
      <c r="L241" s="1">
        <v>1772261.1420301972</v>
      </c>
    </row>
    <row r="242" spans="11:12" x14ac:dyDescent="0.3">
      <c r="K242" s="1">
        <v>230</v>
      </c>
      <c r="L242" s="1">
        <v>253286.22659553611</v>
      </c>
    </row>
    <row r="243" spans="11:12" x14ac:dyDescent="0.3">
      <c r="K243" s="1">
        <v>231</v>
      </c>
      <c r="L243" s="1">
        <v>588884.97632628609</v>
      </c>
    </row>
    <row r="244" spans="11:12" x14ac:dyDescent="0.3">
      <c r="K244" s="1">
        <v>232</v>
      </c>
      <c r="L244" s="1">
        <v>2613531.5906905811</v>
      </c>
    </row>
    <row r="245" spans="11:12" x14ac:dyDescent="0.3">
      <c r="K245" s="1">
        <v>233</v>
      </c>
      <c r="L245" s="1">
        <v>252276.90880712989</v>
      </c>
    </row>
    <row r="246" spans="11:12" x14ac:dyDescent="0.3">
      <c r="K246" s="1">
        <v>234</v>
      </c>
      <c r="L246" s="1">
        <v>474156.2687677287</v>
      </c>
    </row>
    <row r="247" spans="11:12" x14ac:dyDescent="0.3">
      <c r="K247" s="1">
        <v>235</v>
      </c>
      <c r="L247" s="1">
        <v>1604907.3842438271</v>
      </c>
    </row>
    <row r="248" spans="11:12" x14ac:dyDescent="0.3">
      <c r="K248" s="1">
        <v>236</v>
      </c>
      <c r="L248" s="1">
        <v>684188.04400905734</v>
      </c>
    </row>
    <row r="249" spans="11:12" x14ac:dyDescent="0.3">
      <c r="K249" s="1">
        <v>237</v>
      </c>
      <c r="L249" s="1">
        <v>1977555.7308301884</v>
      </c>
    </row>
    <row r="250" spans="11:12" x14ac:dyDescent="0.3">
      <c r="K250" s="1">
        <v>238</v>
      </c>
      <c r="L250" s="1">
        <v>1738004.7506208289</v>
      </c>
    </row>
    <row r="251" spans="11:12" x14ac:dyDescent="0.3">
      <c r="K251" s="1">
        <v>239</v>
      </c>
      <c r="L251" s="1">
        <v>1883766.6870468399</v>
      </c>
    </row>
    <row r="252" spans="11:12" x14ac:dyDescent="0.3">
      <c r="K252" s="1">
        <v>240</v>
      </c>
      <c r="L252" s="1">
        <v>1070800.7712499294</v>
      </c>
    </row>
    <row r="253" spans="11:12" x14ac:dyDescent="0.3">
      <c r="K253" s="1">
        <v>241</v>
      </c>
      <c r="L253" s="1">
        <v>3227839.0919390051</v>
      </c>
    </row>
    <row r="254" spans="11:12" x14ac:dyDescent="0.3">
      <c r="K254" s="1">
        <v>242</v>
      </c>
      <c r="L254" s="1">
        <v>-108746.36944989263</v>
      </c>
    </row>
    <row r="255" spans="11:12" x14ac:dyDescent="0.3">
      <c r="K255" s="1">
        <v>243</v>
      </c>
      <c r="L255" s="1">
        <v>640612.93884099927</v>
      </c>
    </row>
    <row r="256" spans="11:12" x14ac:dyDescent="0.3">
      <c r="K256" s="1">
        <v>244</v>
      </c>
      <c r="L256" s="1">
        <v>-250705.7074443262</v>
      </c>
    </row>
    <row r="257" spans="11:12" x14ac:dyDescent="0.3">
      <c r="K257" s="1">
        <v>245</v>
      </c>
      <c r="L257" s="1">
        <v>3279220.1767731113</v>
      </c>
    </row>
    <row r="258" spans="11:12" x14ac:dyDescent="0.3">
      <c r="K258" s="1">
        <v>246</v>
      </c>
      <c r="L258" s="1">
        <v>187905.62405038008</v>
      </c>
    </row>
    <row r="259" spans="11:12" x14ac:dyDescent="0.3">
      <c r="K259" s="1">
        <v>247</v>
      </c>
      <c r="L259" s="1">
        <v>1621038.4647779809</v>
      </c>
    </row>
    <row r="260" spans="11:12" x14ac:dyDescent="0.3">
      <c r="K260" s="1">
        <v>248</v>
      </c>
      <c r="L260" s="1">
        <v>1501019.6723033004</v>
      </c>
    </row>
    <row r="261" spans="11:12" x14ac:dyDescent="0.3">
      <c r="K261" s="1">
        <v>249</v>
      </c>
      <c r="L261" s="1">
        <v>953760.91708106059</v>
      </c>
    </row>
    <row r="262" spans="11:12" x14ac:dyDescent="0.3">
      <c r="K262" s="1">
        <v>250</v>
      </c>
      <c r="L262" s="1">
        <v>533510.39768856508</v>
      </c>
    </row>
    <row r="263" spans="11:12" x14ac:dyDescent="0.3">
      <c r="K263" s="1">
        <v>251</v>
      </c>
      <c r="L263" s="1">
        <v>-234088.16409710105</v>
      </c>
    </row>
    <row r="264" spans="11:12" x14ac:dyDescent="0.3">
      <c r="K264" s="1">
        <v>252</v>
      </c>
      <c r="L264" s="1">
        <v>695984.34467087477</v>
      </c>
    </row>
    <row r="265" spans="11:12" x14ac:dyDescent="0.3">
      <c r="K265" s="1">
        <v>253</v>
      </c>
      <c r="L265" s="1">
        <v>378221.23321461608</v>
      </c>
    </row>
    <row r="266" spans="11:12" x14ac:dyDescent="0.3">
      <c r="K266" s="1">
        <v>254</v>
      </c>
      <c r="L266" s="1">
        <v>1674326.6484915188</v>
      </c>
    </row>
    <row r="267" spans="11:12" x14ac:dyDescent="0.3">
      <c r="K267" s="1">
        <v>255</v>
      </c>
      <c r="L267" s="1">
        <v>4112816.6045889864</v>
      </c>
    </row>
    <row r="268" spans="11:12" x14ac:dyDescent="0.3">
      <c r="K268" s="1">
        <v>256</v>
      </c>
      <c r="L268" s="1">
        <v>1739582.4267674233</v>
      </c>
    </row>
    <row r="269" spans="11:12" x14ac:dyDescent="0.3">
      <c r="K269" s="1">
        <v>257</v>
      </c>
      <c r="L269" s="1">
        <v>267186.79962842749</v>
      </c>
    </row>
    <row r="270" spans="11:12" x14ac:dyDescent="0.3">
      <c r="K270" s="1">
        <v>258</v>
      </c>
      <c r="L270" s="1">
        <v>1539219.346315146</v>
      </c>
    </row>
    <row r="271" spans="11:12" x14ac:dyDescent="0.3">
      <c r="K271" s="1">
        <v>259</v>
      </c>
      <c r="L271" s="1">
        <v>-424.60809797624825</v>
      </c>
    </row>
    <row r="272" spans="11:12" x14ac:dyDescent="0.3">
      <c r="K272" s="1">
        <v>260</v>
      </c>
      <c r="L272" s="1">
        <v>1579385.3791780858</v>
      </c>
    </row>
    <row r="273" spans="11:12" x14ac:dyDescent="0.3">
      <c r="K273" s="1">
        <v>261</v>
      </c>
      <c r="L273" s="1">
        <v>-140836.55499697407</v>
      </c>
    </row>
    <row r="274" spans="11:12" x14ac:dyDescent="0.3">
      <c r="K274" s="1">
        <v>262</v>
      </c>
      <c r="L274" s="1">
        <v>1597100.6888760803</v>
      </c>
    </row>
    <row r="275" spans="11:12" x14ac:dyDescent="0.3">
      <c r="K275" s="1">
        <v>263</v>
      </c>
      <c r="L275" s="1">
        <v>633494.46390979376</v>
      </c>
    </row>
    <row r="276" spans="11:12" x14ac:dyDescent="0.3">
      <c r="K276" s="1">
        <v>264</v>
      </c>
      <c r="L276" s="1">
        <v>851576.18708171765</v>
      </c>
    </row>
    <row r="277" spans="11:12" x14ac:dyDescent="0.3">
      <c r="K277" s="1">
        <v>265</v>
      </c>
      <c r="L277" s="1">
        <v>24014.020304018457</v>
      </c>
    </row>
    <row r="278" spans="11:12" x14ac:dyDescent="0.3">
      <c r="K278" s="1">
        <v>266</v>
      </c>
      <c r="L278" s="1">
        <v>981727.30518983444</v>
      </c>
    </row>
    <row r="279" spans="11:12" x14ac:dyDescent="0.3">
      <c r="K279" s="1">
        <v>267</v>
      </c>
      <c r="L279" s="1">
        <v>2513228.9885643153</v>
      </c>
    </row>
    <row r="280" spans="11:12" x14ac:dyDescent="0.3">
      <c r="K280" s="1">
        <v>268</v>
      </c>
      <c r="L280" s="1">
        <v>1541893.6959899091</v>
      </c>
    </row>
    <row r="281" spans="11:12" x14ac:dyDescent="0.3">
      <c r="K281" s="1">
        <v>269</v>
      </c>
      <c r="L281" s="1">
        <v>779354.25112091633</v>
      </c>
    </row>
    <row r="282" spans="11:12" x14ac:dyDescent="0.3">
      <c r="K282" s="1">
        <v>270</v>
      </c>
      <c r="L282" s="1">
        <v>-276118.60729512502</v>
      </c>
    </row>
    <row r="283" spans="11:12" x14ac:dyDescent="0.3">
      <c r="K283" s="1">
        <v>271</v>
      </c>
      <c r="L283" s="1">
        <v>3745514.2517658798</v>
      </c>
    </row>
    <row r="284" spans="11:12" x14ac:dyDescent="0.3">
      <c r="K284" s="1">
        <v>272</v>
      </c>
      <c r="L284" s="1">
        <v>5924.6655001928739</v>
      </c>
    </row>
    <row r="285" spans="11:12" x14ac:dyDescent="0.3">
      <c r="K285" s="1">
        <v>273</v>
      </c>
      <c r="L285" s="1">
        <v>-485686.63077396527</v>
      </c>
    </row>
    <row r="286" spans="11:12" x14ac:dyDescent="0.3">
      <c r="K286" s="1">
        <v>274</v>
      </c>
      <c r="L286" s="1">
        <v>1207943.0661871759</v>
      </c>
    </row>
    <row r="287" spans="11:12" x14ac:dyDescent="0.3">
      <c r="K287" s="1">
        <v>275</v>
      </c>
      <c r="L287" s="1">
        <v>3223190.0103641404</v>
      </c>
    </row>
    <row r="288" spans="11:12" x14ac:dyDescent="0.3">
      <c r="K288" s="1">
        <v>276</v>
      </c>
      <c r="L288" s="1">
        <v>882720.86431437894</v>
      </c>
    </row>
    <row r="289" spans="11:12" x14ac:dyDescent="0.3">
      <c r="K289" s="1">
        <v>277</v>
      </c>
      <c r="L289" s="1">
        <v>146488.8665527727</v>
      </c>
    </row>
    <row r="290" spans="11:12" x14ac:dyDescent="0.3">
      <c r="K290" s="1">
        <v>278</v>
      </c>
      <c r="L290" s="1">
        <v>749339.9034210851</v>
      </c>
    </row>
    <row r="291" spans="11:12" x14ac:dyDescent="0.3">
      <c r="K291" s="1">
        <v>279</v>
      </c>
      <c r="L291" s="1">
        <v>514236.30295448063</v>
      </c>
    </row>
    <row r="292" spans="11:12" x14ac:dyDescent="0.3">
      <c r="K292" s="1">
        <v>280</v>
      </c>
      <c r="L292" s="1">
        <v>139200.682773621</v>
      </c>
    </row>
    <row r="293" spans="11:12" x14ac:dyDescent="0.3">
      <c r="K293" s="1">
        <v>281</v>
      </c>
      <c r="L293" s="1">
        <v>1359274.1302835643</v>
      </c>
    </row>
    <row r="294" spans="11:12" x14ac:dyDescent="0.3">
      <c r="K294" s="1">
        <v>282</v>
      </c>
      <c r="L294" s="1">
        <v>2840634.220390365</v>
      </c>
    </row>
    <row r="295" spans="11:12" x14ac:dyDescent="0.3">
      <c r="K295" s="1">
        <v>283</v>
      </c>
      <c r="L295" s="1">
        <v>2914529.4302328527</v>
      </c>
    </row>
    <row r="296" spans="11:12" x14ac:dyDescent="0.3">
      <c r="K296" s="1">
        <v>284</v>
      </c>
      <c r="L296" s="1">
        <v>865410.5952905654</v>
      </c>
    </row>
    <row r="297" spans="11:12" x14ac:dyDescent="0.3">
      <c r="K297" s="1">
        <v>285</v>
      </c>
      <c r="L297" s="1">
        <v>78862.354041387676</v>
      </c>
    </row>
    <row r="298" spans="11:12" x14ac:dyDescent="0.3">
      <c r="K298" s="1">
        <v>286</v>
      </c>
      <c r="L298" s="1">
        <v>866209.34509245888</v>
      </c>
    </row>
    <row r="299" spans="11:12" x14ac:dyDescent="0.3">
      <c r="K299" s="1">
        <v>287</v>
      </c>
      <c r="L299" s="1">
        <v>1487621.9402331659</v>
      </c>
    </row>
    <row r="300" spans="11:12" x14ac:dyDescent="0.3">
      <c r="K300" s="1">
        <v>288</v>
      </c>
      <c r="L300" s="1">
        <v>1050618.1158649826</v>
      </c>
    </row>
    <row r="301" spans="11:12" x14ac:dyDescent="0.3">
      <c r="K301" s="1">
        <v>289</v>
      </c>
      <c r="L301" s="1">
        <v>1815341.6019391723</v>
      </c>
    </row>
    <row r="302" spans="11:12" x14ac:dyDescent="0.3">
      <c r="K302" s="1">
        <v>290</v>
      </c>
      <c r="L302" s="1">
        <v>132376.70264975005</v>
      </c>
    </row>
    <row r="303" spans="11:12" x14ac:dyDescent="0.3">
      <c r="K303" s="1">
        <v>291</v>
      </c>
      <c r="L303" s="1">
        <v>249011.70100509614</v>
      </c>
    </row>
    <row r="304" spans="11:12" x14ac:dyDescent="0.3">
      <c r="K304" s="1">
        <v>292</v>
      </c>
      <c r="L304" s="1">
        <v>201606.07492485002</v>
      </c>
    </row>
    <row r="305" spans="11:12" x14ac:dyDescent="0.3">
      <c r="K305" s="1">
        <v>293</v>
      </c>
      <c r="L305" s="1">
        <v>1070179.8155869925</v>
      </c>
    </row>
    <row r="306" spans="11:12" x14ac:dyDescent="0.3">
      <c r="K306" s="1">
        <v>294</v>
      </c>
      <c r="L306" s="1">
        <v>-112730.80465847184</v>
      </c>
    </row>
    <row r="307" spans="11:12" x14ac:dyDescent="0.3">
      <c r="K307" s="1">
        <v>295</v>
      </c>
      <c r="L307" s="1">
        <v>1703357.361393705</v>
      </c>
    </row>
    <row r="308" spans="11:12" x14ac:dyDescent="0.3">
      <c r="K308" s="1">
        <v>296</v>
      </c>
      <c r="L308" s="1">
        <v>868334.24838564126</v>
      </c>
    </row>
    <row r="309" spans="11:12" x14ac:dyDescent="0.3">
      <c r="K309" s="1">
        <v>297</v>
      </c>
      <c r="L309" s="1">
        <v>1164025.2388170564</v>
      </c>
    </row>
    <row r="310" spans="11:12" x14ac:dyDescent="0.3">
      <c r="K310" s="1">
        <v>298</v>
      </c>
      <c r="L310" s="1">
        <v>2557192.1099527697</v>
      </c>
    </row>
    <row r="311" spans="11:12" x14ac:dyDescent="0.3">
      <c r="K311" s="1">
        <v>299</v>
      </c>
      <c r="L311" s="1">
        <v>924172.27894764207</v>
      </c>
    </row>
    <row r="312" spans="11:12" x14ac:dyDescent="0.3">
      <c r="K312" s="1">
        <v>300</v>
      </c>
      <c r="L312" s="1">
        <v>177687.86198708223</v>
      </c>
    </row>
    <row r="313" spans="11:12" x14ac:dyDescent="0.3">
      <c r="K313" s="1">
        <v>301</v>
      </c>
      <c r="L313" s="1">
        <v>4069996.2442482449</v>
      </c>
    </row>
    <row r="314" spans="11:12" x14ac:dyDescent="0.3">
      <c r="K314" s="1">
        <v>302</v>
      </c>
      <c r="L314" s="1">
        <v>555599.40617306996</v>
      </c>
    </row>
    <row r="315" spans="11:12" x14ac:dyDescent="0.3">
      <c r="K315" s="1">
        <v>303</v>
      </c>
      <c r="L315" s="1">
        <v>-34850.036156465794</v>
      </c>
    </row>
    <row r="316" spans="11:12" x14ac:dyDescent="0.3">
      <c r="K316" s="1">
        <v>304</v>
      </c>
      <c r="L316" s="1">
        <v>357743.53554627125</v>
      </c>
    </row>
    <row r="317" spans="11:12" x14ac:dyDescent="0.3">
      <c r="K317" s="1">
        <v>305</v>
      </c>
      <c r="L317" s="1">
        <v>-53402.463709056319</v>
      </c>
    </row>
    <row r="318" spans="11:12" x14ac:dyDescent="0.3">
      <c r="K318" s="1">
        <v>306</v>
      </c>
      <c r="L318" s="1">
        <v>1629690.0424249354</v>
      </c>
    </row>
    <row r="319" spans="11:12" x14ac:dyDescent="0.3">
      <c r="K319" s="1">
        <v>307</v>
      </c>
      <c r="L319" s="1">
        <v>1579925.6019602218</v>
      </c>
    </row>
    <row r="320" spans="11:12" x14ac:dyDescent="0.3">
      <c r="K320" s="1">
        <v>308</v>
      </c>
      <c r="L320" s="1">
        <v>270201.03329906269</v>
      </c>
    </row>
    <row r="321" spans="11:12" x14ac:dyDescent="0.3">
      <c r="K321" s="1">
        <v>309</v>
      </c>
      <c r="L321" s="1">
        <v>575746.44494461734</v>
      </c>
    </row>
    <row r="322" spans="11:12" x14ac:dyDescent="0.3">
      <c r="K322" s="1">
        <v>310</v>
      </c>
      <c r="L322" s="1">
        <v>540529.77936731442</v>
      </c>
    </row>
    <row r="323" spans="11:12" x14ac:dyDescent="0.3">
      <c r="K323" s="1">
        <v>311</v>
      </c>
      <c r="L323" s="1">
        <v>891487.45329959388</v>
      </c>
    </row>
    <row r="324" spans="11:12" x14ac:dyDescent="0.3">
      <c r="K324" s="1">
        <v>312</v>
      </c>
      <c r="L324" s="1">
        <v>5187205.7705757832</v>
      </c>
    </row>
    <row r="325" spans="11:12" x14ac:dyDescent="0.3">
      <c r="K325" s="1">
        <v>313</v>
      </c>
      <c r="L325" s="1">
        <v>1429810.4750827414</v>
      </c>
    </row>
    <row r="326" spans="11:12" x14ac:dyDescent="0.3">
      <c r="K326" s="1">
        <v>314</v>
      </c>
      <c r="L326" s="1">
        <v>957196.96684449678</v>
      </c>
    </row>
    <row r="327" spans="11:12" x14ac:dyDescent="0.3">
      <c r="K327" s="1">
        <v>315</v>
      </c>
      <c r="L327" s="1">
        <v>104286.29064887087</v>
      </c>
    </row>
    <row r="328" spans="11:12" x14ac:dyDescent="0.3">
      <c r="K328" s="1">
        <v>316</v>
      </c>
      <c r="L328" s="1">
        <v>1754918.4439429445</v>
      </c>
    </row>
    <row r="329" spans="11:12" x14ac:dyDescent="0.3">
      <c r="K329" s="1">
        <v>317</v>
      </c>
      <c r="L329" s="1">
        <v>1586626.0155674131</v>
      </c>
    </row>
    <row r="330" spans="11:12" x14ac:dyDescent="0.3">
      <c r="K330" s="1">
        <v>318</v>
      </c>
      <c r="L330" s="1">
        <v>1277340.0256481185</v>
      </c>
    </row>
    <row r="331" spans="11:12" x14ac:dyDescent="0.3">
      <c r="K331" s="1">
        <v>319</v>
      </c>
      <c r="L331" s="1">
        <v>382862.64236115536</v>
      </c>
    </row>
    <row r="332" spans="11:12" x14ac:dyDescent="0.3">
      <c r="K332" s="1">
        <v>320</v>
      </c>
      <c r="L332" s="1">
        <v>1628895.3400731636</v>
      </c>
    </row>
    <row r="333" spans="11:12" x14ac:dyDescent="0.3">
      <c r="K333" s="1">
        <v>321</v>
      </c>
      <c r="L333" s="1">
        <v>-283089.93981431017</v>
      </c>
    </row>
    <row r="334" spans="11:12" x14ac:dyDescent="0.3">
      <c r="K334" s="1">
        <v>322</v>
      </c>
      <c r="L334" s="1">
        <v>2244581.7399472292</v>
      </c>
    </row>
    <row r="335" spans="11:12" x14ac:dyDescent="0.3">
      <c r="K335" s="1">
        <v>323</v>
      </c>
      <c r="L335" s="1">
        <v>3196067.9612136278</v>
      </c>
    </row>
    <row r="336" spans="11:12" x14ac:dyDescent="0.3">
      <c r="K336" s="1">
        <v>324</v>
      </c>
      <c r="L336" s="1">
        <v>2022206.2906330763</v>
      </c>
    </row>
    <row r="337" spans="11:12" x14ac:dyDescent="0.3">
      <c r="K337" s="1">
        <v>325</v>
      </c>
      <c r="L337" s="1">
        <v>102149.85307700024</v>
      </c>
    </row>
    <row r="338" spans="11:12" x14ac:dyDescent="0.3">
      <c r="K338" s="1">
        <v>326</v>
      </c>
      <c r="L338" s="1">
        <v>800561.22181119351</v>
      </c>
    </row>
    <row r="339" spans="11:12" x14ac:dyDescent="0.3">
      <c r="K339" s="1">
        <v>327</v>
      </c>
      <c r="L339" s="1">
        <v>485458.64321275288</v>
      </c>
    </row>
    <row r="340" spans="11:12" x14ac:dyDescent="0.3">
      <c r="K340" s="1">
        <v>328</v>
      </c>
      <c r="L340" s="1">
        <v>3090786.4592522588</v>
      </c>
    </row>
    <row r="341" spans="11:12" x14ac:dyDescent="0.3">
      <c r="K341" s="1">
        <v>329</v>
      </c>
      <c r="L341" s="1">
        <v>60942.863449064665</v>
      </c>
    </row>
    <row r="342" spans="11:12" x14ac:dyDescent="0.3">
      <c r="K342" s="1">
        <v>330</v>
      </c>
      <c r="L342" s="1">
        <v>1372776.0394641156</v>
      </c>
    </row>
    <row r="343" spans="11:12" x14ac:dyDescent="0.3">
      <c r="K343" s="1">
        <v>331</v>
      </c>
      <c r="L343" s="1">
        <v>293105.37780206965</v>
      </c>
    </row>
    <row r="344" spans="11:12" x14ac:dyDescent="0.3">
      <c r="K344" s="1">
        <v>332</v>
      </c>
      <c r="L344" s="1">
        <v>1193256.2764817788</v>
      </c>
    </row>
    <row r="345" spans="11:12" x14ac:dyDescent="0.3">
      <c r="K345" s="1">
        <v>333</v>
      </c>
      <c r="L345" s="1">
        <v>1127555.4246429969</v>
      </c>
    </row>
    <row r="346" spans="11:12" x14ac:dyDescent="0.3">
      <c r="K346" s="1">
        <v>334</v>
      </c>
      <c r="L346" s="1">
        <v>1152657.7550016001</v>
      </c>
    </row>
    <row r="347" spans="11:12" x14ac:dyDescent="0.3">
      <c r="K347" s="1">
        <v>335</v>
      </c>
      <c r="L347" s="1">
        <v>-138911.91213060418</v>
      </c>
    </row>
    <row r="348" spans="11:12" x14ac:dyDescent="0.3">
      <c r="K348" s="1">
        <v>336</v>
      </c>
      <c r="L348" s="1">
        <v>255303.55960073014</v>
      </c>
    </row>
    <row r="349" spans="11:12" x14ac:dyDescent="0.3">
      <c r="K349" s="1">
        <v>337</v>
      </c>
      <c r="L349" s="1">
        <v>1935719.8628293434</v>
      </c>
    </row>
    <row r="350" spans="11:12" x14ac:dyDescent="0.3">
      <c r="K350" s="1">
        <v>338</v>
      </c>
      <c r="L350" s="1">
        <v>770528.44754897291</v>
      </c>
    </row>
    <row r="351" spans="11:12" x14ac:dyDescent="0.3">
      <c r="K351" s="1">
        <v>339</v>
      </c>
      <c r="L351" s="1">
        <v>1103399.2715896068</v>
      </c>
    </row>
    <row r="352" spans="11:12" x14ac:dyDescent="0.3">
      <c r="K352" s="1">
        <v>340</v>
      </c>
      <c r="L352" s="1">
        <v>2301195.6000838899</v>
      </c>
    </row>
    <row r="353" spans="11:12" x14ac:dyDescent="0.3">
      <c r="K353" s="1">
        <v>341</v>
      </c>
      <c r="L353" s="1">
        <v>778924.6175171386</v>
      </c>
    </row>
    <row r="354" spans="11:12" x14ac:dyDescent="0.3">
      <c r="K354" s="1">
        <v>342</v>
      </c>
      <c r="L354" s="1">
        <v>1724733.0468578702</v>
      </c>
    </row>
    <row r="355" spans="11:12" x14ac:dyDescent="0.3">
      <c r="K355" s="1">
        <v>343</v>
      </c>
      <c r="L355" s="1">
        <v>1650307.6061795419</v>
      </c>
    </row>
    <row r="356" spans="11:12" x14ac:dyDescent="0.3">
      <c r="K356" s="1">
        <v>344</v>
      </c>
      <c r="L356" s="1">
        <v>2312209.8958674162</v>
      </c>
    </row>
    <row r="357" spans="11:12" x14ac:dyDescent="0.3">
      <c r="K357" s="1">
        <v>345</v>
      </c>
      <c r="L357" s="1">
        <v>733061.40281606466</v>
      </c>
    </row>
    <row r="358" spans="11:12" x14ac:dyDescent="0.3">
      <c r="K358" s="1">
        <v>346</v>
      </c>
      <c r="L358" s="1">
        <v>337032.4848656446</v>
      </c>
    </row>
    <row r="359" spans="11:12" x14ac:dyDescent="0.3">
      <c r="K359" s="1">
        <v>347</v>
      </c>
      <c r="L359" s="1">
        <v>1198035.6934939725</v>
      </c>
    </row>
    <row r="360" spans="11:12" x14ac:dyDescent="0.3">
      <c r="K360" s="1">
        <v>348</v>
      </c>
      <c r="L360" s="1">
        <v>2764113.8329238892</v>
      </c>
    </row>
    <row r="361" spans="11:12" x14ac:dyDescent="0.3">
      <c r="K361" s="1">
        <v>349</v>
      </c>
      <c r="L361" s="1">
        <v>1262288.9872346714</v>
      </c>
    </row>
    <row r="362" spans="11:12" x14ac:dyDescent="0.3">
      <c r="K362" s="1">
        <v>350</v>
      </c>
      <c r="L362" s="1">
        <v>2013084.886470465</v>
      </c>
    </row>
    <row r="363" spans="11:12" x14ac:dyDescent="0.3">
      <c r="K363" s="1">
        <v>351</v>
      </c>
      <c r="L363" s="1">
        <v>746181.80492011807</v>
      </c>
    </row>
    <row r="364" spans="11:12" x14ac:dyDescent="0.3">
      <c r="K364" s="1">
        <v>352</v>
      </c>
      <c r="L364" s="1">
        <v>622361.90508817602</v>
      </c>
    </row>
    <row r="365" spans="11:12" x14ac:dyDescent="0.3">
      <c r="K365" s="1">
        <v>353</v>
      </c>
      <c r="L365" s="1">
        <v>2222545.6227806015</v>
      </c>
    </row>
    <row r="366" spans="11:12" x14ac:dyDescent="0.3">
      <c r="K366" s="1">
        <v>354</v>
      </c>
      <c r="L366" s="1">
        <v>1469764.4921636665</v>
      </c>
    </row>
    <row r="367" spans="11:12" x14ac:dyDescent="0.3">
      <c r="K367" s="1">
        <v>355</v>
      </c>
      <c r="L367" s="1">
        <v>847230.56400955026</v>
      </c>
    </row>
    <row r="368" spans="11:12" x14ac:dyDescent="0.3">
      <c r="K368" s="1">
        <v>356</v>
      </c>
      <c r="L368" s="1">
        <v>333898.974147222</v>
      </c>
    </row>
    <row r="369" spans="11:12" x14ac:dyDescent="0.3">
      <c r="K369" s="1">
        <v>357</v>
      </c>
      <c r="L369" s="1">
        <v>1036139.632686459</v>
      </c>
    </row>
    <row r="370" spans="11:12" x14ac:dyDescent="0.3">
      <c r="K370" s="1">
        <v>358</v>
      </c>
      <c r="L370" s="1">
        <v>1268649.7145798991</v>
      </c>
    </row>
    <row r="371" spans="11:12" x14ac:dyDescent="0.3">
      <c r="K371" s="1">
        <v>359</v>
      </c>
      <c r="L371" s="1">
        <v>639675.36644375301</v>
      </c>
    </row>
    <row r="372" spans="11:12" x14ac:dyDescent="0.3">
      <c r="K372" s="1">
        <v>360</v>
      </c>
      <c r="L372" s="1">
        <v>1074690.9676381911</v>
      </c>
    </row>
    <row r="373" spans="11:12" x14ac:dyDescent="0.3">
      <c r="K373" s="1">
        <v>361</v>
      </c>
      <c r="L373" s="1">
        <v>1760437.1741124094</v>
      </c>
    </row>
    <row r="374" spans="11:12" x14ac:dyDescent="0.3">
      <c r="K374" s="1">
        <v>362</v>
      </c>
      <c r="L374" s="1">
        <v>31246.556324263976</v>
      </c>
    </row>
    <row r="375" spans="11:12" x14ac:dyDescent="0.3">
      <c r="K375" s="1">
        <v>363</v>
      </c>
      <c r="L375" s="1">
        <v>1410697.3695203746</v>
      </c>
    </row>
    <row r="376" spans="11:12" x14ac:dyDescent="0.3">
      <c r="K376" s="1">
        <v>364</v>
      </c>
      <c r="L376" s="1">
        <v>420172.14446817792</v>
      </c>
    </row>
    <row r="377" spans="11:12" x14ac:dyDescent="0.3">
      <c r="K377" s="1">
        <v>365</v>
      </c>
      <c r="L377" s="1">
        <v>1149139.2137506418</v>
      </c>
    </row>
    <row r="378" spans="11:12" x14ac:dyDescent="0.3">
      <c r="K378" s="1">
        <v>366</v>
      </c>
      <c r="L378" s="1">
        <v>861892.88309558108</v>
      </c>
    </row>
    <row r="379" spans="11:12" x14ac:dyDescent="0.3">
      <c r="K379" s="1">
        <v>367</v>
      </c>
      <c r="L379" s="1">
        <v>859045.57337022899</v>
      </c>
    </row>
    <row r="380" spans="11:12" x14ac:dyDescent="0.3">
      <c r="K380" s="1">
        <v>368</v>
      </c>
      <c r="L380" s="1">
        <v>1344365.8508931464</v>
      </c>
    </row>
    <row r="381" spans="11:12" x14ac:dyDescent="0.3">
      <c r="K381" s="1">
        <v>369</v>
      </c>
      <c r="L381" s="1">
        <v>4504455.7821118273</v>
      </c>
    </row>
    <row r="382" spans="11:12" x14ac:dyDescent="0.3">
      <c r="K382" s="1">
        <v>370</v>
      </c>
      <c r="L382" s="1">
        <v>3243304.9528305163</v>
      </c>
    </row>
    <row r="383" spans="11:12" x14ac:dyDescent="0.3">
      <c r="K383" s="1">
        <v>371</v>
      </c>
      <c r="L383" s="1">
        <v>1439966.688342914</v>
      </c>
    </row>
    <row r="384" spans="11:12" x14ac:dyDescent="0.3">
      <c r="K384" s="1">
        <v>372</v>
      </c>
      <c r="L384" s="1">
        <v>1414624.5301812531</v>
      </c>
    </row>
    <row r="385" spans="11:12" x14ac:dyDescent="0.3">
      <c r="K385" s="1">
        <v>373</v>
      </c>
      <c r="L385" s="1">
        <v>745951.83351139072</v>
      </c>
    </row>
    <row r="386" spans="11:12" x14ac:dyDescent="0.3">
      <c r="K386" s="1">
        <v>374</v>
      </c>
      <c r="L386" s="1">
        <v>1819420.2942244443</v>
      </c>
    </row>
    <row r="387" spans="11:12" x14ac:dyDescent="0.3">
      <c r="K387" s="1">
        <v>375</v>
      </c>
      <c r="L387" s="1">
        <v>3315012.0871336041</v>
      </c>
    </row>
    <row r="388" spans="11:12" x14ac:dyDescent="0.3">
      <c r="K388" s="1">
        <v>376</v>
      </c>
      <c r="L388" s="1">
        <v>3584754.3467209651</v>
      </c>
    </row>
    <row r="389" spans="11:12" x14ac:dyDescent="0.3">
      <c r="K389" s="1">
        <v>377</v>
      </c>
      <c r="L389" s="1">
        <v>392194.25283750123</v>
      </c>
    </row>
    <row r="390" spans="11:12" x14ac:dyDescent="0.3">
      <c r="K390" s="1">
        <v>378</v>
      </c>
      <c r="L390" s="1">
        <v>634897.79180511273</v>
      </c>
    </row>
    <row r="391" spans="11:12" x14ac:dyDescent="0.3">
      <c r="K391" s="1">
        <v>379</v>
      </c>
      <c r="L391" s="1">
        <v>931001.46665232023</v>
      </c>
    </row>
    <row r="392" spans="11:12" x14ac:dyDescent="0.3">
      <c r="K392" s="1">
        <v>380</v>
      </c>
      <c r="L392" s="1">
        <v>1893858.9836786347</v>
      </c>
    </row>
    <row r="393" spans="11:12" x14ac:dyDescent="0.3">
      <c r="K393" s="1">
        <v>381</v>
      </c>
      <c r="L393" s="1">
        <v>1761704.1804570982</v>
      </c>
    </row>
    <row r="394" spans="11:12" x14ac:dyDescent="0.3">
      <c r="K394" s="1">
        <v>382</v>
      </c>
      <c r="L394" s="1">
        <v>4089915.5559849571</v>
      </c>
    </row>
    <row r="395" spans="11:12" x14ac:dyDescent="0.3">
      <c r="K395" s="1">
        <v>383</v>
      </c>
      <c r="L395" s="1">
        <v>731482.17578411044</v>
      </c>
    </row>
    <row r="396" spans="11:12" x14ac:dyDescent="0.3">
      <c r="K396" s="1">
        <v>384</v>
      </c>
      <c r="L396" s="1">
        <v>777374.66552955273</v>
      </c>
    </row>
    <row r="397" spans="11:12" x14ac:dyDescent="0.3">
      <c r="K397" s="1">
        <v>385</v>
      </c>
      <c r="L397" s="1">
        <v>339519.80285864323</v>
      </c>
    </row>
    <row r="398" spans="11:12" x14ac:dyDescent="0.3">
      <c r="K398" s="1">
        <v>386</v>
      </c>
      <c r="L398" s="1">
        <v>893966.63813562365</v>
      </c>
    </row>
    <row r="399" spans="11:12" x14ac:dyDescent="0.3">
      <c r="K399" s="1">
        <v>387</v>
      </c>
      <c r="L399" s="1">
        <v>2765620.9130695239</v>
      </c>
    </row>
    <row r="400" spans="11:12" x14ac:dyDescent="0.3">
      <c r="K400" s="1">
        <v>388</v>
      </c>
      <c r="L400" s="1">
        <v>1718367.6294778152</v>
      </c>
    </row>
    <row r="401" spans="11:12" x14ac:dyDescent="0.3">
      <c r="K401" s="1">
        <v>389</v>
      </c>
      <c r="L401" s="1">
        <v>1131913.846546961</v>
      </c>
    </row>
    <row r="402" spans="11:12" x14ac:dyDescent="0.3">
      <c r="K402" s="1">
        <v>390</v>
      </c>
      <c r="L402" s="1">
        <v>1876542.6606221208</v>
      </c>
    </row>
    <row r="403" spans="11:12" x14ac:dyDescent="0.3">
      <c r="K403" s="1">
        <v>391</v>
      </c>
      <c r="L403" s="1">
        <v>838633.67574753694</v>
      </c>
    </row>
    <row r="404" spans="11:12" x14ac:dyDescent="0.3">
      <c r="K404" s="1">
        <v>392</v>
      </c>
      <c r="L404" s="1">
        <v>1192470.2923220384</v>
      </c>
    </row>
    <row r="405" spans="11:12" x14ac:dyDescent="0.3">
      <c r="K405" s="1">
        <v>393</v>
      </c>
      <c r="L405" s="1">
        <v>-405461.38038344617</v>
      </c>
    </row>
    <row r="406" spans="11:12" x14ac:dyDescent="0.3">
      <c r="K406" s="1">
        <v>394</v>
      </c>
      <c r="L406" s="1">
        <v>2172322.5505542187</v>
      </c>
    </row>
    <row r="407" spans="11:12" x14ac:dyDescent="0.3">
      <c r="K407" s="1">
        <v>395</v>
      </c>
      <c r="L407" s="1">
        <v>442607.70421438792</v>
      </c>
    </row>
    <row r="408" spans="11:12" x14ac:dyDescent="0.3">
      <c r="K408" s="1">
        <v>396</v>
      </c>
      <c r="L408" s="1">
        <v>2358894.2185041569</v>
      </c>
    </row>
    <row r="409" spans="11:12" x14ac:dyDescent="0.3">
      <c r="K409" s="1">
        <v>397</v>
      </c>
      <c r="L409" s="1">
        <v>353786.31505411596</v>
      </c>
    </row>
    <row r="410" spans="11:12" x14ac:dyDescent="0.3">
      <c r="K410" s="1">
        <v>398</v>
      </c>
      <c r="L410" s="1">
        <v>685652.67397426628</v>
      </c>
    </row>
    <row r="411" spans="11:12" x14ac:dyDescent="0.3">
      <c r="K411" s="1">
        <v>399</v>
      </c>
      <c r="L411" s="1">
        <v>671748.30823038192</v>
      </c>
    </row>
    <row r="412" spans="11:12" x14ac:dyDescent="0.3">
      <c r="K412" s="1">
        <v>400</v>
      </c>
      <c r="L412" s="1">
        <v>518997.39283590321</v>
      </c>
    </row>
    <row r="413" spans="11:12" x14ac:dyDescent="0.3">
      <c r="K413" s="1">
        <v>401</v>
      </c>
      <c r="L413" s="1">
        <v>2443171.2848214889</v>
      </c>
    </row>
    <row r="414" spans="11:12" x14ac:dyDescent="0.3">
      <c r="K414" s="1">
        <v>402</v>
      </c>
      <c r="L414" s="1">
        <v>657809.43411631673</v>
      </c>
    </row>
    <row r="415" spans="11:12" x14ac:dyDescent="0.3">
      <c r="K415" s="1">
        <v>403</v>
      </c>
      <c r="L415" s="1">
        <v>416874.25019780966</v>
      </c>
    </row>
    <row r="416" spans="11:12" x14ac:dyDescent="0.3">
      <c r="K416" s="1">
        <v>404</v>
      </c>
      <c r="L416" s="1">
        <v>1262187.3682505947</v>
      </c>
    </row>
    <row r="417" spans="11:12" x14ac:dyDescent="0.3">
      <c r="K417" s="1">
        <v>405</v>
      </c>
      <c r="L417" s="1">
        <v>1789000.9904907031</v>
      </c>
    </row>
    <row r="418" spans="11:12" x14ac:dyDescent="0.3">
      <c r="K418" s="1">
        <v>406</v>
      </c>
      <c r="L418" s="1">
        <v>1664638.3630817647</v>
      </c>
    </row>
    <row r="419" spans="11:12" x14ac:dyDescent="0.3">
      <c r="K419" s="1">
        <v>407</v>
      </c>
      <c r="L419" s="1">
        <v>127651.21629510325</v>
      </c>
    </row>
    <row r="420" spans="11:12" x14ac:dyDescent="0.3">
      <c r="K420" s="1">
        <v>408</v>
      </c>
      <c r="L420" s="1">
        <v>1370793.0087866085</v>
      </c>
    </row>
    <row r="421" spans="11:12" x14ac:dyDescent="0.3">
      <c r="K421" s="1">
        <v>409</v>
      </c>
      <c r="L421" s="1">
        <v>725305.74838224053</v>
      </c>
    </row>
    <row r="422" spans="11:12" x14ac:dyDescent="0.3">
      <c r="K422" s="1">
        <v>410</v>
      </c>
      <c r="L422" s="1">
        <v>331990.55411599786</v>
      </c>
    </row>
    <row r="423" spans="11:12" x14ac:dyDescent="0.3">
      <c r="K423" s="1">
        <v>411</v>
      </c>
      <c r="L423" s="1">
        <v>-501023.77987855976</v>
      </c>
    </row>
    <row r="424" spans="11:12" x14ac:dyDescent="0.3">
      <c r="K424" s="1">
        <v>412</v>
      </c>
      <c r="L424" s="1">
        <v>641608.95293045172</v>
      </c>
    </row>
    <row r="425" spans="11:12" x14ac:dyDescent="0.3">
      <c r="K425" s="1">
        <v>413</v>
      </c>
      <c r="L425" s="1">
        <v>862985.47341726767</v>
      </c>
    </row>
    <row r="426" spans="11:12" x14ac:dyDescent="0.3">
      <c r="K426" s="1">
        <v>414</v>
      </c>
      <c r="L426" s="1">
        <v>263679.07077693404</v>
      </c>
    </row>
    <row r="427" spans="11:12" x14ac:dyDescent="0.3">
      <c r="K427" s="1">
        <v>415</v>
      </c>
      <c r="L427" s="1">
        <v>733838.62034368643</v>
      </c>
    </row>
    <row r="428" spans="11:12" x14ac:dyDescent="0.3">
      <c r="K428" s="1">
        <v>416</v>
      </c>
      <c r="L428" s="1">
        <v>379998.24167783279</v>
      </c>
    </row>
    <row r="429" spans="11:12" x14ac:dyDescent="0.3">
      <c r="K429" s="1">
        <v>417</v>
      </c>
      <c r="L429" s="1">
        <v>102979.66648800467</v>
      </c>
    </row>
    <row r="430" spans="11:12" x14ac:dyDescent="0.3">
      <c r="K430" s="1">
        <v>418</v>
      </c>
      <c r="L430" s="1">
        <v>960206.34684776911</v>
      </c>
    </row>
    <row r="431" spans="11:12" x14ac:dyDescent="0.3">
      <c r="K431" s="1">
        <v>419</v>
      </c>
      <c r="L431" s="1">
        <v>1719286.6918245123</v>
      </c>
    </row>
    <row r="432" spans="11:12" x14ac:dyDescent="0.3">
      <c r="K432" s="1">
        <v>420</v>
      </c>
      <c r="L432" s="1">
        <v>883067.18188966531</v>
      </c>
    </row>
    <row r="433" spans="11:12" x14ac:dyDescent="0.3">
      <c r="K433" s="1">
        <v>421</v>
      </c>
      <c r="L433" s="1">
        <v>3102915.0477079232</v>
      </c>
    </row>
    <row r="434" spans="11:12" x14ac:dyDescent="0.3">
      <c r="K434" s="1">
        <v>422</v>
      </c>
      <c r="L434" s="1">
        <v>2932704.8691160269</v>
      </c>
    </row>
    <row r="435" spans="11:12" x14ac:dyDescent="0.3">
      <c r="K435" s="1">
        <v>423</v>
      </c>
      <c r="L435" s="1">
        <v>1044270.9233507412</v>
      </c>
    </row>
    <row r="436" spans="11:12" x14ac:dyDescent="0.3">
      <c r="K436" s="1">
        <v>424</v>
      </c>
      <c r="L436" s="1">
        <v>461786.45356076816</v>
      </c>
    </row>
    <row r="437" spans="11:12" x14ac:dyDescent="0.3">
      <c r="K437" s="1">
        <v>425</v>
      </c>
      <c r="L437" s="1">
        <v>879220.4707864786</v>
      </c>
    </row>
    <row r="438" spans="11:12" x14ac:dyDescent="0.3">
      <c r="K438" s="1">
        <v>426</v>
      </c>
      <c r="L438" s="1">
        <v>568979.8707952355</v>
      </c>
    </row>
    <row r="439" spans="11:12" x14ac:dyDescent="0.3">
      <c r="K439" s="1">
        <v>427</v>
      </c>
      <c r="L439" s="1">
        <v>2043675.6002612142</v>
      </c>
    </row>
    <row r="440" spans="11:12" x14ac:dyDescent="0.3">
      <c r="K440" s="1">
        <v>428</v>
      </c>
      <c r="L440" s="1">
        <v>580345.05553143146</v>
      </c>
    </row>
    <row r="441" spans="11:12" x14ac:dyDescent="0.3">
      <c r="K441" s="1">
        <v>429</v>
      </c>
      <c r="L441" s="1">
        <v>229703.76609896444</v>
      </c>
    </row>
    <row r="442" spans="11:12" x14ac:dyDescent="0.3">
      <c r="K442" s="1">
        <v>430</v>
      </c>
      <c r="L442" s="1">
        <v>319940.60088553187</v>
      </c>
    </row>
    <row r="443" spans="11:12" x14ac:dyDescent="0.3">
      <c r="K443" s="1">
        <v>431</v>
      </c>
      <c r="L443" s="1">
        <v>428683.95250913512</v>
      </c>
    </row>
    <row r="444" spans="11:12" x14ac:dyDescent="0.3">
      <c r="K444" s="1">
        <v>432</v>
      </c>
      <c r="L444" s="1">
        <v>1880225.4110511017</v>
      </c>
    </row>
    <row r="445" spans="11:12" x14ac:dyDescent="0.3">
      <c r="K445" s="1">
        <v>433</v>
      </c>
      <c r="L445" s="1">
        <v>420284.99240336579</v>
      </c>
    </row>
    <row r="446" spans="11:12" x14ac:dyDescent="0.3">
      <c r="K446" s="1">
        <v>434</v>
      </c>
      <c r="L446" s="1">
        <v>1109393.2492012447</v>
      </c>
    </row>
    <row r="447" spans="11:12" x14ac:dyDescent="0.3">
      <c r="K447" s="1">
        <v>435</v>
      </c>
      <c r="L447" s="1">
        <v>-303824.6315757237</v>
      </c>
    </row>
    <row r="448" spans="11:12" x14ac:dyDescent="0.3">
      <c r="K448" s="1">
        <v>436</v>
      </c>
      <c r="L448" s="1">
        <v>3664845.0344501091</v>
      </c>
    </row>
    <row r="449" spans="11:12" x14ac:dyDescent="0.3">
      <c r="K449" s="1">
        <v>437</v>
      </c>
      <c r="L449" s="1">
        <v>526400.90347549785</v>
      </c>
    </row>
    <row r="450" spans="11:12" x14ac:dyDescent="0.3">
      <c r="K450" s="1">
        <v>438</v>
      </c>
      <c r="L450" s="1">
        <v>1216980.1527431752</v>
      </c>
    </row>
    <row r="451" spans="11:12" x14ac:dyDescent="0.3">
      <c r="K451" s="1">
        <v>439</v>
      </c>
      <c r="L451" s="1">
        <v>3311219.2465549381</v>
      </c>
    </row>
    <row r="452" spans="11:12" x14ac:dyDescent="0.3">
      <c r="K452" s="1">
        <v>440</v>
      </c>
      <c r="L452" s="1">
        <v>984870.85679563601</v>
      </c>
    </row>
    <row r="453" spans="11:12" x14ac:dyDescent="0.3">
      <c r="K453" s="1">
        <v>441</v>
      </c>
      <c r="L453" s="1">
        <v>628738.36527716496</v>
      </c>
    </row>
    <row r="454" spans="11:12" x14ac:dyDescent="0.3">
      <c r="K454" s="1">
        <v>442</v>
      </c>
      <c r="L454" s="1">
        <v>1897814.5327530727</v>
      </c>
    </row>
    <row r="455" spans="11:12" x14ac:dyDescent="0.3">
      <c r="K455" s="1">
        <v>443</v>
      </c>
      <c r="L455" s="1">
        <v>5915586.4100735784</v>
      </c>
    </row>
    <row r="456" spans="11:12" x14ac:dyDescent="0.3">
      <c r="K456" s="1">
        <v>444</v>
      </c>
      <c r="L456" s="1">
        <v>1669254.2761908541</v>
      </c>
    </row>
    <row r="457" spans="11:12" x14ac:dyDescent="0.3">
      <c r="K457" s="1">
        <v>445</v>
      </c>
      <c r="L457" s="1">
        <v>3369458.5542025706</v>
      </c>
    </row>
    <row r="458" spans="11:12" x14ac:dyDescent="0.3">
      <c r="K458" s="1">
        <v>446</v>
      </c>
      <c r="L458" s="1">
        <v>374790.89741062804</v>
      </c>
    </row>
    <row r="459" spans="11:12" x14ac:dyDescent="0.3">
      <c r="K459" s="1">
        <v>447</v>
      </c>
      <c r="L459" s="1">
        <v>-274625.04263981822</v>
      </c>
    </row>
    <row r="460" spans="11:12" x14ac:dyDescent="0.3">
      <c r="K460" s="1">
        <v>448</v>
      </c>
      <c r="L460" s="1">
        <v>776237.66649701283</v>
      </c>
    </row>
    <row r="461" spans="11:12" x14ac:dyDescent="0.3">
      <c r="K461" s="1">
        <v>449</v>
      </c>
      <c r="L461" s="1">
        <v>457606.99058863195</v>
      </c>
    </row>
    <row r="462" spans="11:12" x14ac:dyDescent="0.3">
      <c r="K462" s="1">
        <v>450</v>
      </c>
      <c r="L462" s="1">
        <v>1960838.9685629308</v>
      </c>
    </row>
    <row r="463" spans="11:12" x14ac:dyDescent="0.3">
      <c r="K463" s="1">
        <v>451</v>
      </c>
      <c r="L463" s="1">
        <v>92035.164191333111</v>
      </c>
    </row>
    <row r="464" spans="11:12" x14ac:dyDescent="0.3">
      <c r="K464" s="1">
        <v>452</v>
      </c>
      <c r="L464" s="1">
        <v>983736.45950362878</v>
      </c>
    </row>
    <row r="465" spans="11:12" x14ac:dyDescent="0.3">
      <c r="K465" s="1">
        <v>453</v>
      </c>
      <c r="L465" s="1">
        <v>808863.42509585037</v>
      </c>
    </row>
    <row r="466" spans="11:12" x14ac:dyDescent="0.3">
      <c r="K466" s="1">
        <v>454</v>
      </c>
      <c r="L466" s="1">
        <v>1365130.4402630769</v>
      </c>
    </row>
    <row r="467" spans="11:12" x14ac:dyDescent="0.3">
      <c r="K467" s="1">
        <v>455</v>
      </c>
      <c r="L467" s="1">
        <v>-135667.11742699015</v>
      </c>
    </row>
    <row r="468" spans="11:12" x14ac:dyDescent="0.3">
      <c r="K468" s="1">
        <v>456</v>
      </c>
      <c r="L468" s="1">
        <v>1502808.6220226036</v>
      </c>
    </row>
    <row r="469" spans="11:12" x14ac:dyDescent="0.3">
      <c r="K469" s="1">
        <v>457</v>
      </c>
      <c r="L469" s="1">
        <v>2511834.333714705</v>
      </c>
    </row>
    <row r="470" spans="11:12" x14ac:dyDescent="0.3">
      <c r="K470" s="1">
        <v>458</v>
      </c>
      <c r="L470" s="1">
        <v>423246.51580121438</v>
      </c>
    </row>
    <row r="471" spans="11:12" x14ac:dyDescent="0.3">
      <c r="K471" s="1">
        <v>459</v>
      </c>
      <c r="L471" s="1">
        <v>1505261.283525195</v>
      </c>
    </row>
    <row r="472" spans="11:12" x14ac:dyDescent="0.3">
      <c r="K472" s="1">
        <v>460</v>
      </c>
      <c r="L472" s="1">
        <v>-45349.461927406635</v>
      </c>
    </row>
    <row r="473" spans="11:12" x14ac:dyDescent="0.3">
      <c r="K473" s="1">
        <v>461</v>
      </c>
      <c r="L473" s="1">
        <v>296562.96425059089</v>
      </c>
    </row>
    <row r="474" spans="11:12" x14ac:dyDescent="0.3">
      <c r="K474" s="1">
        <v>462</v>
      </c>
      <c r="L474" s="1">
        <v>1086148.3706126146</v>
      </c>
    </row>
    <row r="475" spans="11:12" x14ac:dyDescent="0.3">
      <c r="K475" s="1">
        <v>463</v>
      </c>
      <c r="L475" s="1">
        <v>1319324.5882202373</v>
      </c>
    </row>
    <row r="476" spans="11:12" x14ac:dyDescent="0.3">
      <c r="K476" s="1">
        <v>464</v>
      </c>
      <c r="L476" s="1">
        <v>-445057.39487043576</v>
      </c>
    </row>
    <row r="477" spans="11:12" x14ac:dyDescent="0.3">
      <c r="K477" s="1">
        <v>465</v>
      </c>
      <c r="L477" s="1">
        <v>2016606.4431916089</v>
      </c>
    </row>
    <row r="478" spans="11:12" x14ac:dyDescent="0.3">
      <c r="K478" s="1">
        <v>466</v>
      </c>
      <c r="L478" s="1">
        <v>620842.53565433947</v>
      </c>
    </row>
    <row r="479" spans="11:12" x14ac:dyDescent="0.3">
      <c r="K479" s="1">
        <v>467</v>
      </c>
      <c r="L479" s="1">
        <v>2025267.9954485525</v>
      </c>
    </row>
    <row r="480" spans="11:12" x14ac:dyDescent="0.3">
      <c r="K480" s="1">
        <v>468</v>
      </c>
      <c r="L480" s="1">
        <v>3479965.7124844296</v>
      </c>
    </row>
    <row r="481" spans="11:12" x14ac:dyDescent="0.3">
      <c r="K481" s="1">
        <v>469</v>
      </c>
      <c r="L481" s="1">
        <v>2377623.0967226862</v>
      </c>
    </row>
    <row r="482" spans="11:12" x14ac:dyDescent="0.3">
      <c r="K482" s="1">
        <v>470</v>
      </c>
      <c r="L482" s="1">
        <v>-96638.326714970142</v>
      </c>
    </row>
    <row r="483" spans="11:12" x14ac:dyDescent="0.3">
      <c r="K483" s="1">
        <v>471</v>
      </c>
      <c r="L483" s="1">
        <v>1642592.7766115309</v>
      </c>
    </row>
    <row r="484" spans="11:12" x14ac:dyDescent="0.3">
      <c r="K484" s="1">
        <v>472</v>
      </c>
      <c r="L484" s="1">
        <v>817691.88561697747</v>
      </c>
    </row>
    <row r="485" spans="11:12" x14ac:dyDescent="0.3">
      <c r="K485" s="1">
        <v>473</v>
      </c>
      <c r="L485" s="1">
        <v>646614.860765622</v>
      </c>
    </row>
    <row r="486" spans="11:12" x14ac:dyDescent="0.3">
      <c r="K486" s="1">
        <v>474</v>
      </c>
      <c r="L486" s="1">
        <v>1706345.4987541283</v>
      </c>
    </row>
    <row r="487" spans="11:12" x14ac:dyDescent="0.3">
      <c r="K487" s="1">
        <v>475</v>
      </c>
      <c r="L487" s="1">
        <v>236378.18494587368</v>
      </c>
    </row>
    <row r="488" spans="11:12" x14ac:dyDescent="0.3">
      <c r="K488" s="1">
        <v>476</v>
      </c>
      <c r="L488" s="1">
        <v>144013.79067285266</v>
      </c>
    </row>
    <row r="489" spans="11:12" x14ac:dyDescent="0.3">
      <c r="K489" s="1">
        <v>477</v>
      </c>
      <c r="L489" s="1">
        <v>844101.4447222806</v>
      </c>
    </row>
    <row r="490" spans="11:12" x14ac:dyDescent="0.3">
      <c r="K490" s="1">
        <v>478</v>
      </c>
      <c r="L490" s="1">
        <v>1563943.9593089581</v>
      </c>
    </row>
    <row r="491" spans="11:12" x14ac:dyDescent="0.3">
      <c r="K491" s="1">
        <v>479</v>
      </c>
      <c r="L491" s="1">
        <v>2193824.8729546927</v>
      </c>
    </row>
    <row r="492" spans="11:12" x14ac:dyDescent="0.3">
      <c r="K492" s="1">
        <v>480</v>
      </c>
      <c r="L492" s="1">
        <v>387427.61779413838</v>
      </c>
    </row>
    <row r="493" spans="11:12" x14ac:dyDescent="0.3">
      <c r="K493" s="1">
        <v>481</v>
      </c>
      <c r="L493" s="1">
        <v>160302.92256443016</v>
      </c>
    </row>
    <row r="494" spans="11:12" x14ac:dyDescent="0.3">
      <c r="K494" s="1">
        <v>482</v>
      </c>
      <c r="L494" s="1">
        <v>448838.43043132871</v>
      </c>
    </row>
    <row r="495" spans="11:12" x14ac:dyDescent="0.3">
      <c r="K495" s="1">
        <v>483</v>
      </c>
      <c r="L495" s="1">
        <v>522148.77792488388</v>
      </c>
    </row>
    <row r="496" spans="11:12" x14ac:dyDescent="0.3">
      <c r="K496" s="1">
        <v>484</v>
      </c>
      <c r="L496" s="1">
        <v>1590669.8209294532</v>
      </c>
    </row>
    <row r="497" spans="11:12" x14ac:dyDescent="0.3">
      <c r="K497" s="1">
        <v>485</v>
      </c>
      <c r="L497" s="1">
        <v>948171.68158958107</v>
      </c>
    </row>
    <row r="498" spans="11:12" x14ac:dyDescent="0.3">
      <c r="K498" s="1">
        <v>486</v>
      </c>
      <c r="L498" s="1">
        <v>165435.36289514886</v>
      </c>
    </row>
    <row r="499" spans="11:12" x14ac:dyDescent="0.3">
      <c r="K499" s="1">
        <v>487</v>
      </c>
      <c r="L499" s="1">
        <v>1746108.2117955405</v>
      </c>
    </row>
    <row r="500" spans="11:12" x14ac:dyDescent="0.3">
      <c r="K500" s="1">
        <v>488</v>
      </c>
      <c r="L500" s="1">
        <v>1383433.573869158</v>
      </c>
    </row>
    <row r="501" spans="11:12" x14ac:dyDescent="0.3">
      <c r="K501" s="1">
        <v>489</v>
      </c>
      <c r="L501" s="1">
        <v>108472.81360077678</v>
      </c>
    </row>
    <row r="502" spans="11:12" x14ac:dyDescent="0.3">
      <c r="K502" s="1">
        <v>490</v>
      </c>
      <c r="L502" s="1">
        <v>1521751.8112904867</v>
      </c>
    </row>
    <row r="503" spans="11:12" x14ac:dyDescent="0.3">
      <c r="K503" s="1">
        <v>491</v>
      </c>
      <c r="L503" s="1">
        <v>1101690.2007378351</v>
      </c>
    </row>
    <row r="504" spans="11:12" x14ac:dyDescent="0.3">
      <c r="K504" s="1">
        <v>492</v>
      </c>
      <c r="L504" s="1">
        <v>1894128.3691801676</v>
      </c>
    </row>
    <row r="505" spans="11:12" x14ac:dyDescent="0.3">
      <c r="K505" s="1">
        <v>493</v>
      </c>
      <c r="L505" s="1">
        <v>76154.049905268766</v>
      </c>
    </row>
    <row r="506" spans="11:12" x14ac:dyDescent="0.3">
      <c r="K506" s="1">
        <v>494</v>
      </c>
      <c r="L506" s="1">
        <v>562283.75075242505</v>
      </c>
    </row>
    <row r="507" spans="11:12" x14ac:dyDescent="0.3">
      <c r="K507" s="1">
        <v>495</v>
      </c>
      <c r="L507" s="1">
        <v>1848572.4598271383</v>
      </c>
    </row>
    <row r="508" spans="11:12" x14ac:dyDescent="0.3">
      <c r="K508" s="1">
        <v>496</v>
      </c>
      <c r="L508" s="1">
        <v>2780723.2648878689</v>
      </c>
    </row>
    <row r="509" spans="11:12" x14ac:dyDescent="0.3">
      <c r="K509" s="1">
        <v>497</v>
      </c>
      <c r="L509" s="1">
        <v>847633.94754996197</v>
      </c>
    </row>
    <row r="510" spans="11:12" x14ac:dyDescent="0.3">
      <c r="K510" s="1">
        <v>498</v>
      </c>
      <c r="L510" s="1">
        <v>1052681.8765468474</v>
      </c>
    </row>
    <row r="511" spans="11:12" x14ac:dyDescent="0.3">
      <c r="K511" s="1">
        <v>499</v>
      </c>
      <c r="L511" s="1">
        <v>-784652.49405298673</v>
      </c>
    </row>
    <row r="512" spans="11:12" x14ac:dyDescent="0.3">
      <c r="K512" s="1">
        <v>500</v>
      </c>
      <c r="L512" s="1">
        <v>372751.03978343541</v>
      </c>
    </row>
    <row r="513" spans="11:12" x14ac:dyDescent="0.3">
      <c r="K513" s="1">
        <v>501</v>
      </c>
      <c r="L513" s="1">
        <v>922098.87655189401</v>
      </c>
    </row>
    <row r="514" spans="11:12" x14ac:dyDescent="0.3">
      <c r="K514" s="1">
        <v>502</v>
      </c>
      <c r="L514" s="1">
        <v>489844.32189147593</v>
      </c>
    </row>
    <row r="515" spans="11:12" x14ac:dyDescent="0.3">
      <c r="K515" s="1">
        <v>503</v>
      </c>
      <c r="L515" s="1">
        <v>1766713.4273232119</v>
      </c>
    </row>
    <row r="516" spans="11:12" x14ac:dyDescent="0.3">
      <c r="K516" s="1">
        <v>504</v>
      </c>
      <c r="L516" s="1">
        <v>197601.712598057</v>
      </c>
    </row>
    <row r="517" spans="11:12" x14ac:dyDescent="0.3">
      <c r="K517" s="1">
        <v>505</v>
      </c>
      <c r="L517" s="1">
        <v>725213.97593207052</v>
      </c>
    </row>
    <row r="518" spans="11:12" x14ac:dyDescent="0.3">
      <c r="K518" s="1">
        <v>506</v>
      </c>
      <c r="L518" s="1">
        <v>1288712.7854520916</v>
      </c>
    </row>
    <row r="519" spans="11:12" x14ac:dyDescent="0.3">
      <c r="K519" s="1">
        <v>507</v>
      </c>
      <c r="L519" s="1">
        <v>1571218.8464019732</v>
      </c>
    </row>
    <row r="520" spans="11:12" x14ac:dyDescent="0.3">
      <c r="K520" s="1">
        <v>508</v>
      </c>
      <c r="L520" s="1">
        <v>1335391.0928549604</v>
      </c>
    </row>
    <row r="521" spans="11:12" x14ac:dyDescent="0.3">
      <c r="K521" s="1">
        <v>509</v>
      </c>
      <c r="L521" s="1">
        <v>1964117.5746807037</v>
      </c>
    </row>
    <row r="522" spans="11:12" x14ac:dyDescent="0.3">
      <c r="K522" s="1">
        <v>510</v>
      </c>
      <c r="L522" s="1">
        <v>-428440.67877201701</v>
      </c>
    </row>
    <row r="523" spans="11:12" x14ac:dyDescent="0.3">
      <c r="K523" s="1">
        <v>511</v>
      </c>
      <c r="L523" s="1">
        <v>518837.77836134925</v>
      </c>
    </row>
    <row r="524" spans="11:12" x14ac:dyDescent="0.3">
      <c r="K524" s="1">
        <v>512</v>
      </c>
      <c r="L524" s="1">
        <v>414034.55637691601</v>
      </c>
    </row>
    <row r="525" spans="11:12" x14ac:dyDescent="0.3">
      <c r="K525" s="1">
        <v>513</v>
      </c>
      <c r="L525" s="1">
        <v>732365.38672247017</v>
      </c>
    </row>
    <row r="526" spans="11:12" x14ac:dyDescent="0.3">
      <c r="K526" s="1">
        <v>514</v>
      </c>
      <c r="L526" s="1">
        <v>2461013.9320586841</v>
      </c>
    </row>
    <row r="527" spans="11:12" x14ac:dyDescent="0.3">
      <c r="K527" s="1">
        <v>515</v>
      </c>
      <c r="L527" s="1">
        <v>3512477.6299106991</v>
      </c>
    </row>
    <row r="528" spans="11:12" x14ac:dyDescent="0.3">
      <c r="K528" s="1">
        <v>516</v>
      </c>
      <c r="L528" s="1">
        <v>2613317.0001352821</v>
      </c>
    </row>
    <row r="529" spans="11:12" x14ac:dyDescent="0.3">
      <c r="K529" s="1">
        <v>517</v>
      </c>
      <c r="L529" s="1">
        <v>947421.17473588604</v>
      </c>
    </row>
    <row r="530" spans="11:12" x14ac:dyDescent="0.3">
      <c r="K530" s="1">
        <v>518</v>
      </c>
      <c r="L530" s="1">
        <v>567031.23605113453</v>
      </c>
    </row>
    <row r="531" spans="11:12" x14ac:dyDescent="0.3">
      <c r="K531" s="1">
        <v>519</v>
      </c>
      <c r="L531" s="1">
        <v>972177.92841215665</v>
      </c>
    </row>
    <row r="532" spans="11:12" x14ac:dyDescent="0.3">
      <c r="K532" s="1">
        <v>520</v>
      </c>
      <c r="L532" s="1">
        <v>1220023.5662808882</v>
      </c>
    </row>
    <row r="533" spans="11:12" x14ac:dyDescent="0.3">
      <c r="K533" s="1">
        <v>521</v>
      </c>
      <c r="L533" s="1">
        <v>442750.06111774943</v>
      </c>
    </row>
    <row r="534" spans="11:12" x14ac:dyDescent="0.3">
      <c r="K534" s="1">
        <v>522</v>
      </c>
      <c r="L534" s="1">
        <v>2030757.9175679553</v>
      </c>
    </row>
    <row r="535" spans="11:12" x14ac:dyDescent="0.3">
      <c r="K535" s="1">
        <v>523</v>
      </c>
      <c r="L535" s="1">
        <v>1269533.3344677023</v>
      </c>
    </row>
    <row r="536" spans="11:12" x14ac:dyDescent="0.3">
      <c r="K536" s="1">
        <v>524</v>
      </c>
      <c r="L536" s="1">
        <v>1698143.4715807352</v>
      </c>
    </row>
    <row r="537" spans="11:12" x14ac:dyDescent="0.3">
      <c r="K537" s="1">
        <v>525</v>
      </c>
      <c r="L537" s="1">
        <v>1850498.644404097</v>
      </c>
    </row>
    <row r="538" spans="11:12" x14ac:dyDescent="0.3">
      <c r="K538" s="1">
        <v>526</v>
      </c>
      <c r="L538" s="1">
        <v>1058253.4731805776</v>
      </c>
    </row>
    <row r="539" spans="11:12" x14ac:dyDescent="0.3">
      <c r="K539" s="1">
        <v>527</v>
      </c>
      <c r="L539" s="1">
        <v>730724.86740477453</v>
      </c>
    </row>
    <row r="540" spans="11:12" x14ac:dyDescent="0.3">
      <c r="K540" s="1">
        <v>528</v>
      </c>
      <c r="L540" s="1">
        <v>500621.03380232165</v>
      </c>
    </row>
    <row r="541" spans="11:12" x14ac:dyDescent="0.3">
      <c r="K541" s="1">
        <v>529</v>
      </c>
      <c r="L541" s="1">
        <v>431014.37951631087</v>
      </c>
    </row>
    <row r="542" spans="11:12" x14ac:dyDescent="0.3">
      <c r="K542" s="1">
        <v>530</v>
      </c>
      <c r="L542" s="1">
        <v>153720.49931400438</v>
      </c>
    </row>
    <row r="543" spans="11:12" x14ac:dyDescent="0.3">
      <c r="K543" s="1">
        <v>531</v>
      </c>
      <c r="L543" s="1">
        <v>374201.90908790112</v>
      </c>
    </row>
    <row r="544" spans="11:12" x14ac:dyDescent="0.3">
      <c r="K544" s="1">
        <v>532</v>
      </c>
      <c r="L544" s="1">
        <v>711131.63835530542</v>
      </c>
    </row>
    <row r="545" spans="11:12" x14ac:dyDescent="0.3">
      <c r="K545" s="1">
        <v>533</v>
      </c>
      <c r="L545" s="1">
        <v>1647531.5181660438</v>
      </c>
    </row>
    <row r="546" spans="11:12" x14ac:dyDescent="0.3">
      <c r="K546" s="1">
        <v>534</v>
      </c>
      <c r="L546" s="1">
        <v>1563661.2514436678</v>
      </c>
    </row>
    <row r="547" spans="11:12" x14ac:dyDescent="0.3">
      <c r="K547" s="1">
        <v>535</v>
      </c>
      <c r="L547" s="1">
        <v>1027070.9421948835</v>
      </c>
    </row>
    <row r="548" spans="11:12" x14ac:dyDescent="0.3">
      <c r="K548" s="1">
        <v>536</v>
      </c>
      <c r="L548" s="1">
        <v>1443979.791175551</v>
      </c>
    </row>
    <row r="549" spans="11:12" x14ac:dyDescent="0.3">
      <c r="K549" s="1">
        <v>537</v>
      </c>
      <c r="L549" s="1">
        <v>2836404.8324985071</v>
      </c>
    </row>
    <row r="550" spans="11:12" x14ac:dyDescent="0.3">
      <c r="K550" s="1">
        <v>538</v>
      </c>
      <c r="L550" s="1">
        <v>932936.9385766054</v>
      </c>
    </row>
    <row r="551" spans="11:12" x14ac:dyDescent="0.3">
      <c r="K551" s="1">
        <v>539</v>
      </c>
      <c r="L551" s="1">
        <v>1125724.3715440216</v>
      </c>
    </row>
    <row r="552" spans="11:12" x14ac:dyDescent="0.3">
      <c r="K552" s="1">
        <v>540</v>
      </c>
      <c r="L552" s="1">
        <v>533015.90208748658</v>
      </c>
    </row>
    <row r="553" spans="11:12" x14ac:dyDescent="0.3">
      <c r="K553" s="1">
        <v>541</v>
      </c>
      <c r="L553" s="1">
        <v>250853.4875663881</v>
      </c>
    </row>
    <row r="554" spans="11:12" x14ac:dyDescent="0.3">
      <c r="K554" s="1">
        <v>542</v>
      </c>
      <c r="L554" s="1">
        <v>1066934.5369789477</v>
      </c>
    </row>
    <row r="555" spans="11:12" x14ac:dyDescent="0.3">
      <c r="K555" s="1">
        <v>543</v>
      </c>
      <c r="L555" s="1">
        <v>703604.4459189995</v>
      </c>
    </row>
    <row r="556" spans="11:12" x14ac:dyDescent="0.3">
      <c r="K556" s="1">
        <v>544</v>
      </c>
      <c r="L556" s="1">
        <v>375411.06795327389</v>
      </c>
    </row>
    <row r="557" spans="11:12" x14ac:dyDescent="0.3">
      <c r="K557" s="1">
        <v>545</v>
      </c>
      <c r="L557" s="1">
        <v>3221631.2930915141</v>
      </c>
    </row>
    <row r="558" spans="11:12" x14ac:dyDescent="0.3">
      <c r="K558" s="1">
        <v>546</v>
      </c>
      <c r="L558" s="1">
        <v>441849.38482306339</v>
      </c>
    </row>
    <row r="559" spans="11:12" x14ac:dyDescent="0.3">
      <c r="K559" s="1">
        <v>547</v>
      </c>
      <c r="L559" s="1">
        <v>-242486.30779432342</v>
      </c>
    </row>
    <row r="560" spans="11:12" x14ac:dyDescent="0.3">
      <c r="K560" s="1">
        <v>548</v>
      </c>
      <c r="L560" s="1">
        <v>1890161.7465320658</v>
      </c>
    </row>
    <row r="561" spans="11:12" x14ac:dyDescent="0.3">
      <c r="K561" s="1">
        <v>549</v>
      </c>
      <c r="L561" s="1">
        <v>2252125.6927678608</v>
      </c>
    </row>
    <row r="562" spans="11:12" x14ac:dyDescent="0.3">
      <c r="K562" s="1">
        <v>550</v>
      </c>
      <c r="L562" s="1">
        <v>1753903.5212053317</v>
      </c>
    </row>
    <row r="563" spans="11:12" x14ac:dyDescent="0.3">
      <c r="K563" s="1">
        <v>551</v>
      </c>
      <c r="L563" s="1">
        <v>786427.6528847767</v>
      </c>
    </row>
    <row r="564" spans="11:12" x14ac:dyDescent="0.3">
      <c r="K564" s="1">
        <v>552</v>
      </c>
      <c r="L564" s="1">
        <v>1836697.6686231378</v>
      </c>
    </row>
    <row r="565" spans="11:12" x14ac:dyDescent="0.3">
      <c r="K565" s="1">
        <v>553</v>
      </c>
      <c r="L565" s="1">
        <v>1277795.725377592</v>
      </c>
    </row>
    <row r="566" spans="11:12" x14ac:dyDescent="0.3">
      <c r="K566" s="1">
        <v>554</v>
      </c>
      <c r="L566" s="1">
        <v>66225.112439255521</v>
      </c>
    </row>
    <row r="567" spans="11:12" x14ac:dyDescent="0.3">
      <c r="K567" s="1">
        <v>555</v>
      </c>
      <c r="L567" s="1">
        <v>1896079.635404998</v>
      </c>
    </row>
    <row r="568" spans="11:12" x14ac:dyDescent="0.3">
      <c r="K568" s="1">
        <v>556</v>
      </c>
      <c r="L568" s="1">
        <v>1947679.3804890206</v>
      </c>
    </row>
    <row r="569" spans="11:12" x14ac:dyDescent="0.3">
      <c r="K569" s="1">
        <v>557</v>
      </c>
      <c r="L569" s="1">
        <v>1772505.9637389178</v>
      </c>
    </row>
    <row r="570" spans="11:12" x14ac:dyDescent="0.3">
      <c r="K570" s="1">
        <v>558</v>
      </c>
      <c r="L570" s="1">
        <v>984571.22524534515</v>
      </c>
    </row>
    <row r="571" spans="11:12" x14ac:dyDescent="0.3">
      <c r="K571" s="1">
        <v>559</v>
      </c>
      <c r="L571" s="1">
        <v>71011.603511452733</v>
      </c>
    </row>
    <row r="572" spans="11:12" x14ac:dyDescent="0.3">
      <c r="K572" s="1">
        <v>560</v>
      </c>
      <c r="L572" s="1">
        <v>3249127.8162610913</v>
      </c>
    </row>
    <row r="573" spans="11:12" x14ac:dyDescent="0.3">
      <c r="K573" s="1">
        <v>561</v>
      </c>
      <c r="L573" s="1">
        <v>270853.87690930301</v>
      </c>
    </row>
    <row r="574" spans="11:12" x14ac:dyDescent="0.3">
      <c r="K574" s="1">
        <v>562</v>
      </c>
      <c r="L574" s="1">
        <v>1656329.2327495576</v>
      </c>
    </row>
    <row r="575" spans="11:12" x14ac:dyDescent="0.3">
      <c r="K575" s="1">
        <v>563</v>
      </c>
      <c r="L575" s="1">
        <v>-265705.41145295918</v>
      </c>
    </row>
    <row r="576" spans="11:12" x14ac:dyDescent="0.3">
      <c r="K576" s="1">
        <v>564</v>
      </c>
      <c r="L576" s="1">
        <v>1534943.2913238406</v>
      </c>
    </row>
    <row r="577" spans="11:12" x14ac:dyDescent="0.3">
      <c r="K577" s="1">
        <v>565</v>
      </c>
      <c r="L577" s="1">
        <v>3176102.4586148541</v>
      </c>
    </row>
    <row r="578" spans="11:12" x14ac:dyDescent="0.3">
      <c r="K578" s="1">
        <v>566</v>
      </c>
      <c r="L578" s="1">
        <v>1535515.8786579818</v>
      </c>
    </row>
    <row r="579" spans="11:12" x14ac:dyDescent="0.3">
      <c r="K579" s="1">
        <v>567</v>
      </c>
      <c r="L579" s="1">
        <v>1071539.2252939604</v>
      </c>
    </row>
    <row r="580" spans="11:12" x14ac:dyDescent="0.3">
      <c r="K580" s="1">
        <v>568</v>
      </c>
      <c r="L580" s="1">
        <v>487959.05167533597</v>
      </c>
    </row>
    <row r="581" spans="11:12" x14ac:dyDescent="0.3">
      <c r="K581" s="1">
        <v>569</v>
      </c>
      <c r="L581" s="1">
        <v>2014830.7113681585</v>
      </c>
    </row>
    <row r="582" spans="11:12" x14ac:dyDescent="0.3">
      <c r="K582" s="1">
        <v>570</v>
      </c>
      <c r="L582" s="1">
        <v>2299898.8548952877</v>
      </c>
    </row>
    <row r="583" spans="11:12" x14ac:dyDescent="0.3">
      <c r="K583" s="1">
        <v>571</v>
      </c>
      <c r="L583" s="1">
        <v>567550.24017673754</v>
      </c>
    </row>
    <row r="584" spans="11:12" x14ac:dyDescent="0.3">
      <c r="K584" s="1">
        <v>572</v>
      </c>
      <c r="L584" s="1">
        <v>2095582.2309544208</v>
      </c>
    </row>
    <row r="585" spans="11:12" x14ac:dyDescent="0.3">
      <c r="K585" s="1">
        <v>573</v>
      </c>
      <c r="L585" s="1">
        <v>2401904.7748437906</v>
      </c>
    </row>
    <row r="586" spans="11:12" x14ac:dyDescent="0.3">
      <c r="K586" s="1">
        <v>574</v>
      </c>
      <c r="L586" s="1">
        <v>4425265.1851877337</v>
      </c>
    </row>
    <row r="587" spans="11:12" x14ac:dyDescent="0.3">
      <c r="K587" s="1">
        <v>575</v>
      </c>
      <c r="L587" s="1">
        <v>-771679.33581538731</v>
      </c>
    </row>
    <row r="588" spans="11:12" x14ac:dyDescent="0.3">
      <c r="K588" s="1">
        <v>576</v>
      </c>
      <c r="L588" s="1">
        <v>212577.81317559083</v>
      </c>
    </row>
    <row r="589" spans="11:12" x14ac:dyDescent="0.3">
      <c r="K589" s="1">
        <v>577</v>
      </c>
      <c r="L589" s="1">
        <v>1952299.8016969678</v>
      </c>
    </row>
    <row r="590" spans="11:12" x14ac:dyDescent="0.3">
      <c r="K590" s="1">
        <v>578</v>
      </c>
      <c r="L590" s="1">
        <v>408981.10803276813</v>
      </c>
    </row>
    <row r="591" spans="11:12" x14ac:dyDescent="0.3">
      <c r="K591" s="1">
        <v>579</v>
      </c>
      <c r="L591" s="1">
        <v>2029132.6785073839</v>
      </c>
    </row>
    <row r="592" spans="11:12" x14ac:dyDescent="0.3">
      <c r="K592" s="1">
        <v>580</v>
      </c>
      <c r="L592" s="1">
        <v>1531211.893358116</v>
      </c>
    </row>
    <row r="593" spans="11:12" x14ac:dyDescent="0.3">
      <c r="K593" s="1">
        <v>581</v>
      </c>
      <c r="L593" s="1">
        <v>218150.87713822653</v>
      </c>
    </row>
    <row r="594" spans="11:12" x14ac:dyDescent="0.3">
      <c r="K594" s="1">
        <v>582</v>
      </c>
      <c r="L594" s="1">
        <v>-129911.22137054965</v>
      </c>
    </row>
    <row r="595" spans="11:12" x14ac:dyDescent="0.3">
      <c r="K595" s="1">
        <v>583</v>
      </c>
      <c r="L595" s="1">
        <v>1105414.9452608924</v>
      </c>
    </row>
    <row r="596" spans="11:12" x14ac:dyDescent="0.3">
      <c r="K596" s="1">
        <v>584</v>
      </c>
      <c r="L596" s="1">
        <v>558356.95409670309</v>
      </c>
    </row>
    <row r="597" spans="11:12" x14ac:dyDescent="0.3">
      <c r="K597" s="1">
        <v>585</v>
      </c>
      <c r="L597" s="1">
        <v>1699245.5160500365</v>
      </c>
    </row>
    <row r="598" spans="11:12" x14ac:dyDescent="0.3">
      <c r="K598" s="1">
        <v>586</v>
      </c>
      <c r="L598" s="1">
        <v>2716012.4925715262</v>
      </c>
    </row>
    <row r="599" spans="11:12" x14ac:dyDescent="0.3">
      <c r="K599" s="1">
        <v>587</v>
      </c>
      <c r="L599" s="1">
        <v>1830788.0922313635</v>
      </c>
    </row>
    <row r="600" spans="11:12" x14ac:dyDescent="0.3">
      <c r="K600" s="1">
        <v>588</v>
      </c>
      <c r="L600" s="1">
        <v>3217478.7157229902</v>
      </c>
    </row>
    <row r="601" spans="11:12" x14ac:dyDescent="0.3">
      <c r="K601" s="1">
        <v>589</v>
      </c>
      <c r="L601" s="1">
        <v>746116.02229380608</v>
      </c>
    </row>
    <row r="602" spans="11:12" x14ac:dyDescent="0.3">
      <c r="K602" s="1">
        <v>590</v>
      </c>
      <c r="L602" s="1">
        <v>480245.5727119837</v>
      </c>
    </row>
    <row r="603" spans="11:12" x14ac:dyDescent="0.3">
      <c r="K603" s="1">
        <v>591</v>
      </c>
      <c r="L603" s="1">
        <v>3528130.5284961849</v>
      </c>
    </row>
    <row r="604" spans="11:12" x14ac:dyDescent="0.3">
      <c r="K604" s="1">
        <v>592</v>
      </c>
      <c r="L604" s="1">
        <v>1159349.599527112</v>
      </c>
    </row>
    <row r="605" spans="11:12" x14ac:dyDescent="0.3">
      <c r="K605" s="1">
        <v>593</v>
      </c>
      <c r="L605" s="1">
        <v>410122.77418439754</v>
      </c>
    </row>
    <row r="606" spans="11:12" x14ac:dyDescent="0.3">
      <c r="K606" s="1">
        <v>594</v>
      </c>
      <c r="L606" s="1">
        <v>540313.02498973184</v>
      </c>
    </row>
    <row r="607" spans="11:12" x14ac:dyDescent="0.3">
      <c r="K607" s="1">
        <v>595</v>
      </c>
      <c r="L607" s="1">
        <v>1139007.390401053</v>
      </c>
    </row>
    <row r="608" spans="11:12" x14ac:dyDescent="0.3">
      <c r="K608" s="1">
        <v>596</v>
      </c>
      <c r="L608" s="1">
        <v>1037939.7232465395</v>
      </c>
    </row>
    <row r="609" spans="11:12" x14ac:dyDescent="0.3">
      <c r="K609" s="1">
        <v>597</v>
      </c>
      <c r="L609" s="1">
        <v>701214.98384222691</v>
      </c>
    </row>
    <row r="610" spans="11:12" x14ac:dyDescent="0.3">
      <c r="K610" s="1">
        <v>598</v>
      </c>
      <c r="L610" s="1">
        <v>702298.85447806865</v>
      </c>
    </row>
    <row r="611" spans="11:12" x14ac:dyDescent="0.3">
      <c r="K611" s="1">
        <v>599</v>
      </c>
      <c r="L611" s="1">
        <v>534259.69837466232</v>
      </c>
    </row>
    <row r="612" spans="11:12" x14ac:dyDescent="0.3">
      <c r="K612" s="1">
        <v>600</v>
      </c>
      <c r="L612" s="1">
        <v>1305416.5735912621</v>
      </c>
    </row>
    <row r="613" spans="11:12" x14ac:dyDescent="0.3">
      <c r="K613" s="1">
        <v>601</v>
      </c>
      <c r="L613" s="1">
        <v>2365148.5610521385</v>
      </c>
    </row>
    <row r="614" spans="11:12" x14ac:dyDescent="0.3">
      <c r="K614" s="1">
        <v>602</v>
      </c>
      <c r="L614" s="1">
        <v>5091721.68311272</v>
      </c>
    </row>
    <row r="615" spans="11:12" x14ac:dyDescent="0.3">
      <c r="K615" s="1">
        <v>603</v>
      </c>
      <c r="L615" s="1">
        <v>1445318.3142764992</v>
      </c>
    </row>
    <row r="616" spans="11:12" x14ac:dyDescent="0.3">
      <c r="K616" s="1">
        <v>604</v>
      </c>
      <c r="L616" s="1">
        <v>-139970.53923056633</v>
      </c>
    </row>
    <row r="617" spans="11:12" x14ac:dyDescent="0.3">
      <c r="K617" s="1">
        <v>605</v>
      </c>
      <c r="L617" s="1">
        <v>1875422.1902133129</v>
      </c>
    </row>
    <row r="618" spans="11:12" x14ac:dyDescent="0.3">
      <c r="K618" s="1">
        <v>606</v>
      </c>
      <c r="L618" s="1">
        <v>-166321.96920577422</v>
      </c>
    </row>
    <row r="619" spans="11:12" x14ac:dyDescent="0.3">
      <c r="K619" s="1">
        <v>607</v>
      </c>
      <c r="L619" s="1">
        <v>1548937.8531043995</v>
      </c>
    </row>
    <row r="620" spans="11:12" x14ac:dyDescent="0.3">
      <c r="K620" s="1">
        <v>608</v>
      </c>
      <c r="L620" s="1">
        <v>2324401.0045565688</v>
      </c>
    </row>
    <row r="621" spans="11:12" x14ac:dyDescent="0.3">
      <c r="K621" s="1">
        <v>609</v>
      </c>
      <c r="L621" s="1">
        <v>705961.73619521409</v>
      </c>
    </row>
    <row r="622" spans="11:12" x14ac:dyDescent="0.3">
      <c r="K622" s="1">
        <v>610</v>
      </c>
      <c r="L622" s="1">
        <v>3440686.2549756169</v>
      </c>
    </row>
    <row r="623" spans="11:12" x14ac:dyDescent="0.3">
      <c r="K623" s="1">
        <v>611</v>
      </c>
      <c r="L623" s="1">
        <v>493122.32316848694</v>
      </c>
    </row>
    <row r="624" spans="11:12" x14ac:dyDescent="0.3">
      <c r="K624" s="1">
        <v>612</v>
      </c>
      <c r="L624" s="1">
        <v>1335889.7503735446</v>
      </c>
    </row>
    <row r="625" spans="11:12" x14ac:dyDescent="0.3">
      <c r="K625" s="1">
        <v>613</v>
      </c>
      <c r="L625" s="1">
        <v>607078.45622070762</v>
      </c>
    </row>
    <row r="626" spans="11:12" x14ac:dyDescent="0.3">
      <c r="K626" s="1">
        <v>614</v>
      </c>
      <c r="L626" s="1">
        <v>1118276.8584935979</v>
      </c>
    </row>
    <row r="627" spans="11:12" x14ac:dyDescent="0.3">
      <c r="K627" s="1">
        <v>615</v>
      </c>
      <c r="L627" s="1">
        <v>653587.63787731749</v>
      </c>
    </row>
    <row r="628" spans="11:12" x14ac:dyDescent="0.3">
      <c r="K628" s="1">
        <v>616</v>
      </c>
      <c r="L628" s="1">
        <v>3110542.0582524678</v>
      </c>
    </row>
    <row r="629" spans="11:12" x14ac:dyDescent="0.3">
      <c r="K629" s="1">
        <v>617</v>
      </c>
      <c r="L629" s="1">
        <v>1506144.6020315492</v>
      </c>
    </row>
    <row r="630" spans="11:12" x14ac:dyDescent="0.3">
      <c r="K630" s="1">
        <v>618</v>
      </c>
      <c r="L630" s="1">
        <v>386182.81782102585</v>
      </c>
    </row>
    <row r="631" spans="11:12" x14ac:dyDescent="0.3">
      <c r="K631" s="1">
        <v>619</v>
      </c>
      <c r="L631" s="1">
        <v>753070.44468066341</v>
      </c>
    </row>
    <row r="632" spans="11:12" x14ac:dyDescent="0.3">
      <c r="K632" s="1">
        <v>620</v>
      </c>
      <c r="L632" s="1">
        <v>2709957.8705206597</v>
      </c>
    </row>
    <row r="633" spans="11:12" x14ac:dyDescent="0.3">
      <c r="K633" s="1">
        <v>621</v>
      </c>
      <c r="L633" s="1">
        <v>-89970.490823878848</v>
      </c>
    </row>
    <row r="634" spans="11:12" x14ac:dyDescent="0.3">
      <c r="K634" s="1">
        <v>622</v>
      </c>
      <c r="L634" s="1">
        <v>1505519.3357280684</v>
      </c>
    </row>
    <row r="635" spans="11:12" x14ac:dyDescent="0.3">
      <c r="K635" s="1">
        <v>623</v>
      </c>
      <c r="L635" s="1">
        <v>213847.67978135392</v>
      </c>
    </row>
    <row r="636" spans="11:12" x14ac:dyDescent="0.3">
      <c r="K636" s="1">
        <v>624</v>
      </c>
      <c r="L636" s="1">
        <v>2388269.5923640635</v>
      </c>
    </row>
    <row r="637" spans="11:12" x14ac:dyDescent="0.3">
      <c r="K637" s="1">
        <v>625</v>
      </c>
      <c r="L637" s="1">
        <v>968963.97083210386</v>
      </c>
    </row>
    <row r="638" spans="11:12" x14ac:dyDescent="0.3">
      <c r="K638" s="1">
        <v>626</v>
      </c>
      <c r="L638" s="1">
        <v>1386722.2598866385</v>
      </c>
    </row>
    <row r="639" spans="11:12" x14ac:dyDescent="0.3">
      <c r="K639" s="1">
        <v>627</v>
      </c>
      <c r="L639" s="1">
        <v>658987.13391754602</v>
      </c>
    </row>
    <row r="640" spans="11:12" x14ac:dyDescent="0.3">
      <c r="K640" s="1">
        <v>628</v>
      </c>
      <c r="L640" s="1">
        <v>1323885.0419750754</v>
      </c>
    </row>
    <row r="641" spans="11:12" x14ac:dyDescent="0.3">
      <c r="K641" s="1">
        <v>629</v>
      </c>
      <c r="L641" s="1">
        <v>1210424.3215866364</v>
      </c>
    </row>
    <row r="642" spans="11:12" x14ac:dyDescent="0.3">
      <c r="K642" s="1">
        <v>630</v>
      </c>
      <c r="L642" s="1">
        <v>2069083.9383458984</v>
      </c>
    </row>
    <row r="643" spans="11:12" x14ac:dyDescent="0.3">
      <c r="K643" s="1">
        <v>631</v>
      </c>
      <c r="L643" s="1">
        <v>2456240.8169996077</v>
      </c>
    </row>
    <row r="644" spans="11:12" x14ac:dyDescent="0.3">
      <c r="K644" s="1">
        <v>632</v>
      </c>
      <c r="L644" s="1">
        <v>876545.30027814535</v>
      </c>
    </row>
    <row r="645" spans="11:12" x14ac:dyDescent="0.3">
      <c r="K645" s="1">
        <v>633</v>
      </c>
      <c r="L645" s="1">
        <v>792610.21630032954</v>
      </c>
    </row>
    <row r="646" spans="11:12" x14ac:dyDescent="0.3">
      <c r="K646" s="1">
        <v>634</v>
      </c>
      <c r="L646" s="1">
        <v>1169029.367886411</v>
      </c>
    </row>
    <row r="647" spans="11:12" x14ac:dyDescent="0.3">
      <c r="K647" s="1">
        <v>635</v>
      </c>
      <c r="L647" s="1">
        <v>1003554.8687390927</v>
      </c>
    </row>
    <row r="648" spans="11:12" x14ac:dyDescent="0.3">
      <c r="K648" s="1">
        <v>636</v>
      </c>
      <c r="L648" s="1">
        <v>1223267.9264601294</v>
      </c>
    </row>
    <row r="649" spans="11:12" x14ac:dyDescent="0.3">
      <c r="K649" s="1">
        <v>637</v>
      </c>
      <c r="L649" s="1">
        <v>3609351.4586940566</v>
      </c>
    </row>
    <row r="650" spans="11:12" x14ac:dyDescent="0.3">
      <c r="K650" s="1">
        <v>638</v>
      </c>
      <c r="L650" s="1">
        <v>3406234.7982222736</v>
      </c>
    </row>
    <row r="651" spans="11:12" x14ac:dyDescent="0.3">
      <c r="K651" s="1">
        <v>639</v>
      </c>
      <c r="L651" s="1">
        <v>233670.79249082861</v>
      </c>
    </row>
    <row r="652" spans="11:12" x14ac:dyDescent="0.3">
      <c r="K652" s="1">
        <v>640</v>
      </c>
      <c r="L652" s="1">
        <v>511125.93680729507</v>
      </c>
    </row>
    <row r="653" spans="11:12" x14ac:dyDescent="0.3">
      <c r="K653" s="1">
        <v>641</v>
      </c>
      <c r="L653" s="1">
        <v>2251343.4975281721</v>
      </c>
    </row>
    <row r="654" spans="11:12" x14ac:dyDescent="0.3">
      <c r="K654" s="1">
        <v>642</v>
      </c>
      <c r="L654" s="1">
        <v>155220.44181779283</v>
      </c>
    </row>
    <row r="655" spans="11:12" x14ac:dyDescent="0.3">
      <c r="K655" s="1">
        <v>643</v>
      </c>
      <c r="L655" s="1">
        <v>2207115.8884294257</v>
      </c>
    </row>
    <row r="656" spans="11:12" x14ac:dyDescent="0.3">
      <c r="K656" s="1">
        <v>644</v>
      </c>
      <c r="L656" s="1">
        <v>-305074.55420236598</v>
      </c>
    </row>
    <row r="657" spans="11:12" x14ac:dyDescent="0.3">
      <c r="K657" s="1">
        <v>645</v>
      </c>
      <c r="L657" s="1">
        <v>702831.79926430725</v>
      </c>
    </row>
    <row r="658" spans="11:12" x14ac:dyDescent="0.3">
      <c r="K658" s="1">
        <v>646</v>
      </c>
      <c r="L658" s="1">
        <v>4584021.2150035156</v>
      </c>
    </row>
    <row r="659" spans="11:12" x14ac:dyDescent="0.3">
      <c r="K659" s="1">
        <v>647</v>
      </c>
      <c r="L659" s="1">
        <v>575691.73538412433</v>
      </c>
    </row>
    <row r="660" spans="11:12" x14ac:dyDescent="0.3">
      <c r="K660" s="1">
        <v>648</v>
      </c>
      <c r="L660" s="1">
        <v>1260516.2594627957</v>
      </c>
    </row>
    <row r="661" spans="11:12" x14ac:dyDescent="0.3">
      <c r="K661" s="1">
        <v>649</v>
      </c>
      <c r="L661" s="1">
        <v>4449199.5813277699</v>
      </c>
    </row>
    <row r="662" spans="11:12" x14ac:dyDescent="0.3">
      <c r="K662" s="1">
        <v>650</v>
      </c>
      <c r="L662" s="1">
        <v>441988.11294081062</v>
      </c>
    </row>
    <row r="663" spans="11:12" x14ac:dyDescent="0.3">
      <c r="K663" s="1">
        <v>651</v>
      </c>
      <c r="L663" s="1">
        <v>1385804.1207903186</v>
      </c>
    </row>
    <row r="664" spans="11:12" x14ac:dyDescent="0.3">
      <c r="K664" s="1">
        <v>652</v>
      </c>
      <c r="L664" s="1">
        <v>866457.03271838138</v>
      </c>
    </row>
    <row r="665" spans="11:12" x14ac:dyDescent="0.3">
      <c r="K665" s="1">
        <v>653</v>
      </c>
      <c r="L665" s="1">
        <v>1906939.7786514377</v>
      </c>
    </row>
    <row r="666" spans="11:12" x14ac:dyDescent="0.3">
      <c r="K666" s="1">
        <v>654</v>
      </c>
      <c r="L666" s="1">
        <v>156886.04898925091</v>
      </c>
    </row>
    <row r="667" spans="11:12" x14ac:dyDescent="0.3">
      <c r="K667" s="1">
        <v>655</v>
      </c>
      <c r="L667" s="1">
        <v>460823.1910884052</v>
      </c>
    </row>
    <row r="668" spans="11:12" x14ac:dyDescent="0.3">
      <c r="K668" s="1">
        <v>656</v>
      </c>
      <c r="L668" s="1">
        <v>1997721.1678209803</v>
      </c>
    </row>
    <row r="669" spans="11:12" x14ac:dyDescent="0.3">
      <c r="K669" s="1">
        <v>657</v>
      </c>
      <c r="L669" s="1">
        <v>1167860.0962571483</v>
      </c>
    </row>
    <row r="670" spans="11:12" x14ac:dyDescent="0.3">
      <c r="K670" s="1">
        <v>658</v>
      </c>
      <c r="L670" s="1">
        <v>589022.35137985786</v>
      </c>
    </row>
    <row r="671" spans="11:12" x14ac:dyDescent="0.3">
      <c r="K671" s="1">
        <v>659</v>
      </c>
      <c r="L671" s="1">
        <v>2404125.2538849465</v>
      </c>
    </row>
    <row r="672" spans="11:12" x14ac:dyDescent="0.3">
      <c r="K672" s="1">
        <v>660</v>
      </c>
      <c r="L672" s="1">
        <v>747428.64282543492</v>
      </c>
    </row>
    <row r="673" spans="11:12" x14ac:dyDescent="0.3">
      <c r="K673" s="1">
        <v>661</v>
      </c>
      <c r="L673" s="1">
        <v>673751.44648525631</v>
      </c>
    </row>
    <row r="674" spans="11:12" x14ac:dyDescent="0.3">
      <c r="K674" s="1">
        <v>662</v>
      </c>
      <c r="L674" s="1">
        <v>1497099.3085561383</v>
      </c>
    </row>
    <row r="675" spans="11:12" x14ac:dyDescent="0.3">
      <c r="K675" s="1">
        <v>663</v>
      </c>
      <c r="L675" s="1">
        <v>1165130.4716111352</v>
      </c>
    </row>
    <row r="676" spans="11:12" x14ac:dyDescent="0.3">
      <c r="K676" s="1">
        <v>664</v>
      </c>
      <c r="L676" s="1">
        <v>1664502.9106674464</v>
      </c>
    </row>
    <row r="677" spans="11:12" x14ac:dyDescent="0.3">
      <c r="K677" s="1">
        <v>665</v>
      </c>
      <c r="L677" s="1">
        <v>584890.9224987526</v>
      </c>
    </row>
    <row r="678" spans="11:12" x14ac:dyDescent="0.3">
      <c r="K678" s="1">
        <v>666</v>
      </c>
      <c r="L678" s="1">
        <v>1064317.9496324039</v>
      </c>
    </row>
    <row r="679" spans="11:12" x14ac:dyDescent="0.3">
      <c r="K679" s="1">
        <v>667</v>
      </c>
      <c r="L679" s="1">
        <v>1170252.5473753903</v>
      </c>
    </row>
    <row r="680" spans="11:12" x14ac:dyDescent="0.3">
      <c r="K680" s="1">
        <v>668</v>
      </c>
      <c r="L680" s="1">
        <v>1116455.148024512</v>
      </c>
    </row>
    <row r="681" spans="11:12" x14ac:dyDescent="0.3">
      <c r="K681" s="1">
        <v>669</v>
      </c>
      <c r="L681" s="1">
        <v>2827297.5739813913</v>
      </c>
    </row>
    <row r="682" spans="11:12" x14ac:dyDescent="0.3">
      <c r="K682" s="1">
        <v>670</v>
      </c>
      <c r="L682" s="1">
        <v>-200931.76363460161</v>
      </c>
    </row>
    <row r="683" spans="11:12" x14ac:dyDescent="0.3">
      <c r="K683" s="1">
        <v>671</v>
      </c>
      <c r="L683" s="1">
        <v>337055.9898240628</v>
      </c>
    </row>
    <row r="684" spans="11:12" x14ac:dyDescent="0.3">
      <c r="K684" s="1">
        <v>672</v>
      </c>
      <c r="L684" s="1">
        <v>1769850.7201791098</v>
      </c>
    </row>
    <row r="685" spans="11:12" x14ac:dyDescent="0.3">
      <c r="K685" s="1">
        <v>673</v>
      </c>
      <c r="L685" s="1">
        <v>1179894.0778219625</v>
      </c>
    </row>
    <row r="686" spans="11:12" x14ac:dyDescent="0.3">
      <c r="K686" s="1">
        <v>674</v>
      </c>
      <c r="L686" s="1">
        <v>811218.70132621541</v>
      </c>
    </row>
    <row r="687" spans="11:12" x14ac:dyDescent="0.3">
      <c r="K687" s="1">
        <v>675</v>
      </c>
      <c r="L687" s="1">
        <v>1172890.8800731902</v>
      </c>
    </row>
    <row r="688" spans="11:12" x14ac:dyDescent="0.3">
      <c r="K688" s="1">
        <v>676</v>
      </c>
      <c r="L688" s="1">
        <v>958727.13835118571</v>
      </c>
    </row>
    <row r="689" spans="11:12" x14ac:dyDescent="0.3">
      <c r="K689" s="1">
        <v>677</v>
      </c>
      <c r="L689" s="1">
        <v>1158288.6622098091</v>
      </c>
    </row>
    <row r="690" spans="11:12" x14ac:dyDescent="0.3">
      <c r="K690" s="1">
        <v>678</v>
      </c>
      <c r="L690" s="1">
        <v>110543.3529492176</v>
      </c>
    </row>
    <row r="691" spans="11:12" x14ac:dyDescent="0.3">
      <c r="K691" s="1">
        <v>679</v>
      </c>
      <c r="L691" s="1">
        <v>1569762.7223623362</v>
      </c>
    </row>
    <row r="692" spans="11:12" x14ac:dyDescent="0.3">
      <c r="K692" s="1">
        <v>680</v>
      </c>
      <c r="L692" s="1">
        <v>619770.45039634313</v>
      </c>
    </row>
    <row r="693" spans="11:12" x14ac:dyDescent="0.3">
      <c r="K693" s="1">
        <v>681</v>
      </c>
      <c r="L693" s="1">
        <v>1142423.4182201978</v>
      </c>
    </row>
    <row r="694" spans="11:12" x14ac:dyDescent="0.3">
      <c r="K694" s="1">
        <v>682</v>
      </c>
      <c r="L694" s="1">
        <v>693689.66104597854</v>
      </c>
    </row>
    <row r="695" spans="11:12" x14ac:dyDescent="0.3">
      <c r="K695" s="1">
        <v>683</v>
      </c>
      <c r="L695" s="1">
        <v>1953370.9752623318</v>
      </c>
    </row>
    <row r="696" spans="11:12" x14ac:dyDescent="0.3">
      <c r="K696" s="1">
        <v>684</v>
      </c>
      <c r="L696" s="1">
        <v>1073573.6112855289</v>
      </c>
    </row>
    <row r="697" spans="11:12" x14ac:dyDescent="0.3">
      <c r="K697" s="1">
        <v>685</v>
      </c>
      <c r="L697" s="1">
        <v>1074220.0336859056</v>
      </c>
    </row>
    <row r="698" spans="11:12" x14ac:dyDescent="0.3">
      <c r="K698" s="1">
        <v>686</v>
      </c>
      <c r="L698" s="1">
        <v>1696658.7214649897</v>
      </c>
    </row>
    <row r="699" spans="11:12" x14ac:dyDescent="0.3">
      <c r="K699" s="1">
        <v>687</v>
      </c>
      <c r="L699" s="1">
        <v>2094557.9439805821</v>
      </c>
    </row>
    <row r="700" spans="11:12" x14ac:dyDescent="0.3">
      <c r="K700" s="1">
        <v>688</v>
      </c>
      <c r="L700" s="1">
        <v>1228217.232697607</v>
      </c>
    </row>
    <row r="701" spans="11:12" x14ac:dyDescent="0.3">
      <c r="K701" s="1">
        <v>689</v>
      </c>
      <c r="L701" s="1">
        <v>1140828.934829121</v>
      </c>
    </row>
    <row r="702" spans="11:12" x14ac:dyDescent="0.3">
      <c r="K702" s="1">
        <v>690</v>
      </c>
      <c r="L702" s="1">
        <v>1229335.5470796167</v>
      </c>
    </row>
    <row r="703" spans="11:12" x14ac:dyDescent="0.3">
      <c r="K703" s="1">
        <v>691</v>
      </c>
      <c r="L703" s="1">
        <v>1766872.4150929879</v>
      </c>
    </row>
    <row r="704" spans="11:12" x14ac:dyDescent="0.3">
      <c r="K704" s="1">
        <v>692</v>
      </c>
      <c r="L704" s="1">
        <v>989089.12397114746</v>
      </c>
    </row>
    <row r="705" spans="11:12" x14ac:dyDescent="0.3">
      <c r="K705" s="1">
        <v>693</v>
      </c>
      <c r="L705" s="1">
        <v>438780.41305222129</v>
      </c>
    </row>
    <row r="706" spans="11:12" x14ac:dyDescent="0.3">
      <c r="K706" s="1">
        <v>694</v>
      </c>
      <c r="L706" s="1">
        <v>261519.39422309928</v>
      </c>
    </row>
    <row r="707" spans="11:12" x14ac:dyDescent="0.3">
      <c r="K707" s="1">
        <v>695</v>
      </c>
      <c r="L707" s="1">
        <v>3189471.6854093764</v>
      </c>
    </row>
    <row r="708" spans="11:12" x14ac:dyDescent="0.3">
      <c r="K708" s="1">
        <v>696</v>
      </c>
      <c r="L708" s="1">
        <v>180025.7875663591</v>
      </c>
    </row>
    <row r="709" spans="11:12" x14ac:dyDescent="0.3">
      <c r="K709" s="1">
        <v>697</v>
      </c>
      <c r="L709" s="1">
        <v>1083231.5570209967</v>
      </c>
    </row>
    <row r="710" spans="11:12" x14ac:dyDescent="0.3">
      <c r="K710" s="1">
        <v>698</v>
      </c>
      <c r="L710" s="1">
        <v>-305151.7855519125</v>
      </c>
    </row>
    <row r="711" spans="11:12" x14ac:dyDescent="0.3">
      <c r="K711" s="1">
        <v>699</v>
      </c>
      <c r="L711" s="1">
        <v>2490567.3178054495</v>
      </c>
    </row>
    <row r="712" spans="11:12" x14ac:dyDescent="0.3">
      <c r="K712" s="1">
        <v>700</v>
      </c>
      <c r="L712" s="1">
        <v>1035341.2784156434</v>
      </c>
    </row>
    <row r="713" spans="11:12" x14ac:dyDescent="0.3">
      <c r="K713" s="1">
        <v>701</v>
      </c>
      <c r="L713" s="1">
        <v>1046638.8130105836</v>
      </c>
    </row>
    <row r="714" spans="11:12" x14ac:dyDescent="0.3">
      <c r="K714" s="1">
        <v>702</v>
      </c>
      <c r="L714" s="1">
        <v>1587704.215425824</v>
      </c>
    </row>
    <row r="715" spans="11:12" x14ac:dyDescent="0.3">
      <c r="K715" s="1">
        <v>703</v>
      </c>
      <c r="L715" s="1">
        <v>975117.53518462158</v>
      </c>
    </row>
    <row r="716" spans="11:12" x14ac:dyDescent="0.3">
      <c r="K716" s="1">
        <v>704</v>
      </c>
      <c r="L716" s="1">
        <v>144890.89162696584</v>
      </c>
    </row>
    <row r="717" spans="11:12" x14ac:dyDescent="0.3">
      <c r="K717" s="1">
        <v>705</v>
      </c>
      <c r="L717" s="1">
        <v>411045.94658462121</v>
      </c>
    </row>
    <row r="718" spans="11:12" x14ac:dyDescent="0.3">
      <c r="K718" s="1">
        <v>706</v>
      </c>
      <c r="L718" s="1">
        <v>150016.89083388232</v>
      </c>
    </row>
    <row r="719" spans="11:12" x14ac:dyDescent="0.3">
      <c r="K719" s="1">
        <v>707</v>
      </c>
      <c r="L719" s="1">
        <v>12691.134484454582</v>
      </c>
    </row>
    <row r="720" spans="11:12" x14ac:dyDescent="0.3">
      <c r="K720" s="1">
        <v>708</v>
      </c>
      <c r="L720" s="1">
        <v>-274474.74707363069</v>
      </c>
    </row>
    <row r="721" spans="11:12" x14ac:dyDescent="0.3">
      <c r="K721" s="1">
        <v>709</v>
      </c>
      <c r="L721" s="1">
        <v>957695.24276375049</v>
      </c>
    </row>
    <row r="722" spans="11:12" x14ac:dyDescent="0.3">
      <c r="K722" s="1">
        <v>710</v>
      </c>
      <c r="L722" s="1">
        <v>2860380.4170709327</v>
      </c>
    </row>
    <row r="723" spans="11:12" x14ac:dyDescent="0.3">
      <c r="K723" s="1">
        <v>711</v>
      </c>
      <c r="L723" s="1">
        <v>2163834.6473108688</v>
      </c>
    </row>
    <row r="724" spans="11:12" x14ac:dyDescent="0.3">
      <c r="K724" s="1">
        <v>712</v>
      </c>
      <c r="L724" s="1">
        <v>2565414.833981134</v>
      </c>
    </row>
    <row r="725" spans="11:12" x14ac:dyDescent="0.3">
      <c r="K725" s="1">
        <v>713</v>
      </c>
      <c r="L725" s="1">
        <v>448883.57753586373</v>
      </c>
    </row>
    <row r="726" spans="11:12" x14ac:dyDescent="0.3">
      <c r="K726" s="1">
        <v>714</v>
      </c>
      <c r="L726" s="1">
        <v>1135943.2122500092</v>
      </c>
    </row>
    <row r="727" spans="11:12" x14ac:dyDescent="0.3">
      <c r="K727" s="1">
        <v>715</v>
      </c>
      <c r="L727" s="1">
        <v>2005589.2230001856</v>
      </c>
    </row>
    <row r="728" spans="11:12" x14ac:dyDescent="0.3">
      <c r="K728" s="1">
        <v>716</v>
      </c>
      <c r="L728" s="1">
        <v>642876.08049013861</v>
      </c>
    </row>
    <row r="729" spans="11:12" x14ac:dyDescent="0.3">
      <c r="K729" s="1">
        <v>717</v>
      </c>
      <c r="L729" s="1">
        <v>1319740.0458445053</v>
      </c>
    </row>
    <row r="730" spans="11:12" x14ac:dyDescent="0.3">
      <c r="K730" s="1">
        <v>718</v>
      </c>
      <c r="L730" s="1">
        <v>-175284.28569620251</v>
      </c>
    </row>
    <row r="731" spans="11:12" x14ac:dyDescent="0.3">
      <c r="K731" s="1">
        <v>719</v>
      </c>
      <c r="L731" s="1">
        <v>617321.34658903233</v>
      </c>
    </row>
    <row r="732" spans="11:12" x14ac:dyDescent="0.3">
      <c r="K732" s="1">
        <v>720</v>
      </c>
      <c r="L732" s="1">
        <v>535640.40361121041</v>
      </c>
    </row>
    <row r="733" spans="11:12" x14ac:dyDescent="0.3">
      <c r="K733" s="1">
        <v>721</v>
      </c>
      <c r="L733" s="1">
        <v>130968.2699259494</v>
      </c>
    </row>
    <row r="734" spans="11:12" x14ac:dyDescent="0.3">
      <c r="K734" s="1">
        <v>722</v>
      </c>
      <c r="L734" s="1">
        <v>1917663.9805515418</v>
      </c>
    </row>
    <row r="735" spans="11:12" x14ac:dyDescent="0.3">
      <c r="K735" s="1">
        <v>723</v>
      </c>
      <c r="L735" s="1">
        <v>3986973.1970644728</v>
      </c>
    </row>
    <row r="736" spans="11:12" x14ac:dyDescent="0.3">
      <c r="K736" s="1">
        <v>724</v>
      </c>
      <c r="L736" s="1">
        <v>1805632.1710897384</v>
      </c>
    </row>
    <row r="737" spans="11:12" x14ac:dyDescent="0.3">
      <c r="K737" s="1">
        <v>725</v>
      </c>
      <c r="L737" s="1">
        <v>1025978.1361776963</v>
      </c>
    </row>
    <row r="738" spans="11:12" x14ac:dyDescent="0.3">
      <c r="K738" s="1">
        <v>726</v>
      </c>
      <c r="L738" s="1">
        <v>1308118.6742284892</v>
      </c>
    </row>
    <row r="739" spans="11:12" x14ac:dyDescent="0.3">
      <c r="K739" s="1">
        <v>727</v>
      </c>
      <c r="L739" s="1">
        <v>-194708.15649165658</v>
      </c>
    </row>
    <row r="740" spans="11:12" x14ac:dyDescent="0.3">
      <c r="K740" s="1">
        <v>728</v>
      </c>
      <c r="L740" s="1">
        <v>1437916.1704061185</v>
      </c>
    </row>
    <row r="741" spans="11:12" x14ac:dyDescent="0.3">
      <c r="K741" s="1">
        <v>729</v>
      </c>
      <c r="L741" s="1">
        <v>241076.78928290214</v>
      </c>
    </row>
    <row r="742" spans="11:12" x14ac:dyDescent="0.3">
      <c r="K742" s="1">
        <v>730</v>
      </c>
      <c r="L742" s="1">
        <v>741575.48848368099</v>
      </c>
    </row>
    <row r="743" spans="11:12" x14ac:dyDescent="0.3">
      <c r="K743" s="1">
        <v>731</v>
      </c>
      <c r="L743" s="1">
        <v>1147943.8956833514</v>
      </c>
    </row>
    <row r="744" spans="11:12" x14ac:dyDescent="0.3">
      <c r="K744" s="1">
        <v>732</v>
      </c>
      <c r="L744" s="1">
        <v>1931007.0328373946</v>
      </c>
    </row>
    <row r="745" spans="11:12" x14ac:dyDescent="0.3">
      <c r="K745" s="1">
        <v>733</v>
      </c>
      <c r="L745" s="1">
        <v>1125557.3057139476</v>
      </c>
    </row>
    <row r="746" spans="11:12" x14ac:dyDescent="0.3">
      <c r="K746" s="1">
        <v>734</v>
      </c>
      <c r="L746" s="1">
        <v>1258490.9359416212</v>
      </c>
    </row>
    <row r="747" spans="11:12" x14ac:dyDescent="0.3">
      <c r="K747" s="1">
        <v>735</v>
      </c>
      <c r="L747" s="1">
        <v>1307520.00340337</v>
      </c>
    </row>
    <row r="748" spans="11:12" x14ac:dyDescent="0.3">
      <c r="K748" s="1">
        <v>736</v>
      </c>
      <c r="L748" s="1">
        <v>126898.8396440607</v>
      </c>
    </row>
    <row r="749" spans="11:12" x14ac:dyDescent="0.3">
      <c r="K749" s="1">
        <v>737</v>
      </c>
      <c r="L749" s="1">
        <v>1523333.6948208455</v>
      </c>
    </row>
    <row r="750" spans="11:12" x14ac:dyDescent="0.3">
      <c r="K750" s="1">
        <v>738</v>
      </c>
      <c r="L750" s="1">
        <v>822382.49191137718</v>
      </c>
    </row>
    <row r="751" spans="11:12" x14ac:dyDescent="0.3">
      <c r="K751" s="1">
        <v>739</v>
      </c>
      <c r="L751" s="1">
        <v>2150675.1537081879</v>
      </c>
    </row>
    <row r="752" spans="11:12" x14ac:dyDescent="0.3">
      <c r="K752" s="1">
        <v>740</v>
      </c>
      <c r="L752" s="1">
        <v>455110.70339088817</v>
      </c>
    </row>
    <row r="753" spans="11:12" x14ac:dyDescent="0.3">
      <c r="K753" s="1">
        <v>741</v>
      </c>
      <c r="L753" s="1">
        <v>3312989.4956786167</v>
      </c>
    </row>
    <row r="754" spans="11:12" x14ac:dyDescent="0.3">
      <c r="K754" s="1">
        <v>742</v>
      </c>
      <c r="L754" s="1">
        <v>2552922.4055483169</v>
      </c>
    </row>
    <row r="755" spans="11:12" x14ac:dyDescent="0.3">
      <c r="K755" s="1">
        <v>743</v>
      </c>
      <c r="L755" s="1">
        <v>692653.21897101356</v>
      </c>
    </row>
    <row r="756" spans="11:12" x14ac:dyDescent="0.3">
      <c r="K756" s="1">
        <v>744</v>
      </c>
      <c r="L756" s="1">
        <v>334971.80776849051</v>
      </c>
    </row>
    <row r="757" spans="11:12" x14ac:dyDescent="0.3">
      <c r="K757" s="1">
        <v>745</v>
      </c>
      <c r="L757" s="1">
        <v>913931.63245849009</v>
      </c>
    </row>
    <row r="758" spans="11:12" x14ac:dyDescent="0.3">
      <c r="K758" s="1">
        <v>746</v>
      </c>
      <c r="L758" s="1">
        <v>1072176.3884453853</v>
      </c>
    </row>
    <row r="759" spans="11:12" x14ac:dyDescent="0.3">
      <c r="K759" s="1">
        <v>747</v>
      </c>
      <c r="L759" s="1">
        <v>2455118.3734593028</v>
      </c>
    </row>
    <row r="760" spans="11:12" x14ac:dyDescent="0.3">
      <c r="K760" s="1">
        <v>748</v>
      </c>
      <c r="L760" s="1">
        <v>2580859.3813180933</v>
      </c>
    </row>
    <row r="761" spans="11:12" x14ac:dyDescent="0.3">
      <c r="K761" s="1">
        <v>749</v>
      </c>
      <c r="L761" s="1">
        <v>3034405.2099192813</v>
      </c>
    </row>
    <row r="762" spans="11:12" x14ac:dyDescent="0.3">
      <c r="K762" s="1">
        <v>750</v>
      </c>
      <c r="L762" s="1">
        <v>2399442.5079885907</v>
      </c>
    </row>
    <row r="763" spans="11:12" x14ac:dyDescent="0.3">
      <c r="K763" s="1">
        <v>751</v>
      </c>
      <c r="L763" s="1">
        <v>808200.7808559835</v>
      </c>
    </row>
    <row r="764" spans="11:12" x14ac:dyDescent="0.3">
      <c r="K764" s="1">
        <v>752</v>
      </c>
      <c r="L764" s="1">
        <v>2274511.462861592</v>
      </c>
    </row>
    <row r="765" spans="11:12" x14ac:dyDescent="0.3">
      <c r="K765" s="1">
        <v>753</v>
      </c>
      <c r="L765" s="1">
        <v>759294.21858441981</v>
      </c>
    </row>
    <row r="766" spans="11:12" x14ac:dyDescent="0.3">
      <c r="K766" s="1">
        <v>754</v>
      </c>
      <c r="L766" s="1">
        <v>840360.66744353878</v>
      </c>
    </row>
    <row r="767" spans="11:12" x14ac:dyDescent="0.3">
      <c r="K767" s="1">
        <v>755</v>
      </c>
      <c r="L767" s="1">
        <v>1303912.6180837126</v>
      </c>
    </row>
    <row r="768" spans="11:12" x14ac:dyDescent="0.3">
      <c r="K768" s="1">
        <v>756</v>
      </c>
      <c r="L768" s="1">
        <v>1497443.4087948676</v>
      </c>
    </row>
    <row r="769" spans="11:12" x14ac:dyDescent="0.3">
      <c r="K769" s="1">
        <v>757</v>
      </c>
      <c r="L769" s="1">
        <v>2274204.4261941919</v>
      </c>
    </row>
    <row r="770" spans="11:12" x14ac:dyDescent="0.3">
      <c r="K770" s="1">
        <v>758</v>
      </c>
      <c r="L770" s="1">
        <v>520675.83401087974</v>
      </c>
    </row>
    <row r="771" spans="11:12" x14ac:dyDescent="0.3">
      <c r="K771" s="1">
        <v>759</v>
      </c>
      <c r="L771" s="1">
        <v>1376024.0262260612</v>
      </c>
    </row>
    <row r="772" spans="11:12" x14ac:dyDescent="0.3">
      <c r="K772" s="1">
        <v>760</v>
      </c>
      <c r="L772" s="1">
        <v>64451.275747612468</v>
      </c>
    </row>
    <row r="773" spans="11:12" x14ac:dyDescent="0.3">
      <c r="K773" s="1">
        <v>761</v>
      </c>
      <c r="L773" s="1">
        <v>187815.67353816907</v>
      </c>
    </row>
    <row r="774" spans="11:12" x14ac:dyDescent="0.3">
      <c r="K774" s="1">
        <v>762</v>
      </c>
      <c r="L774" s="1">
        <v>986440.49326882977</v>
      </c>
    </row>
    <row r="775" spans="11:12" x14ac:dyDescent="0.3">
      <c r="K775" s="1">
        <v>763</v>
      </c>
      <c r="L775" s="1">
        <v>-80990.726907220203</v>
      </c>
    </row>
    <row r="776" spans="11:12" x14ac:dyDescent="0.3">
      <c r="K776" s="1">
        <v>764</v>
      </c>
      <c r="L776" s="1">
        <v>462700.8362306261</v>
      </c>
    </row>
    <row r="777" spans="11:12" x14ac:dyDescent="0.3">
      <c r="K777" s="1">
        <v>765</v>
      </c>
      <c r="L777" s="1">
        <v>1012553.4396853065</v>
      </c>
    </row>
    <row r="778" spans="11:12" x14ac:dyDescent="0.3">
      <c r="K778" s="1">
        <v>766</v>
      </c>
      <c r="L778" s="1">
        <v>1818520.756248476</v>
      </c>
    </row>
    <row r="779" spans="11:12" x14ac:dyDescent="0.3">
      <c r="K779" s="1">
        <v>767</v>
      </c>
      <c r="L779" s="1">
        <v>1241734.5368461604</v>
      </c>
    </row>
    <row r="780" spans="11:12" x14ac:dyDescent="0.3">
      <c r="K780" s="1">
        <v>768</v>
      </c>
      <c r="L780" s="1">
        <v>1054136.3512449579</v>
      </c>
    </row>
    <row r="781" spans="11:12" x14ac:dyDescent="0.3">
      <c r="K781" s="1">
        <v>769</v>
      </c>
      <c r="L781" s="1">
        <v>1796104.3318828375</v>
      </c>
    </row>
    <row r="782" spans="11:12" x14ac:dyDescent="0.3">
      <c r="K782" s="1">
        <v>770</v>
      </c>
      <c r="L782" s="1">
        <v>1254046.4580755457</v>
      </c>
    </row>
    <row r="783" spans="11:12" x14ac:dyDescent="0.3">
      <c r="K783" s="1">
        <v>771</v>
      </c>
      <c r="L783" s="1">
        <v>2382268.0638558986</v>
      </c>
    </row>
    <row r="784" spans="11:12" x14ac:dyDescent="0.3">
      <c r="K784" s="1">
        <v>772</v>
      </c>
      <c r="L784" s="1">
        <v>451279.22770156979</v>
      </c>
    </row>
    <row r="785" spans="11:12" x14ac:dyDescent="0.3">
      <c r="K785" s="1">
        <v>773</v>
      </c>
      <c r="L785" s="1">
        <v>1441249.652441605</v>
      </c>
    </row>
    <row r="786" spans="11:12" x14ac:dyDescent="0.3">
      <c r="K786" s="1">
        <v>774</v>
      </c>
      <c r="L786" s="1">
        <v>762448.73960238532</v>
      </c>
    </row>
    <row r="787" spans="11:12" x14ac:dyDescent="0.3">
      <c r="K787" s="1">
        <v>775</v>
      </c>
      <c r="L787" s="1">
        <v>909846.66063477891</v>
      </c>
    </row>
    <row r="788" spans="11:12" x14ac:dyDescent="0.3">
      <c r="K788" s="1">
        <v>776</v>
      </c>
      <c r="L788" s="1">
        <v>947765.15780965495</v>
      </c>
    </row>
    <row r="789" spans="11:12" x14ac:dyDescent="0.3">
      <c r="K789" s="1">
        <v>777</v>
      </c>
      <c r="L789" s="1">
        <v>191941.91990587872</v>
      </c>
    </row>
    <row r="790" spans="11:12" x14ac:dyDescent="0.3">
      <c r="K790" s="1">
        <v>778</v>
      </c>
      <c r="L790" s="1">
        <v>802796.0920256048</v>
      </c>
    </row>
    <row r="791" spans="11:12" x14ac:dyDescent="0.3">
      <c r="K791" s="1">
        <v>779</v>
      </c>
      <c r="L791" s="1">
        <v>3214344.3101136209</v>
      </c>
    </row>
    <row r="792" spans="11:12" x14ac:dyDescent="0.3">
      <c r="K792" s="1">
        <v>780</v>
      </c>
      <c r="L792" s="1">
        <v>726641.76743225497</v>
      </c>
    </row>
    <row r="793" spans="11:12" x14ac:dyDescent="0.3">
      <c r="K793" s="1">
        <v>781</v>
      </c>
      <c r="L793" s="1">
        <v>773834.45916029334</v>
      </c>
    </row>
    <row r="794" spans="11:12" x14ac:dyDescent="0.3">
      <c r="K794" s="1">
        <v>782</v>
      </c>
      <c r="L794" s="1">
        <v>1119338.0328734815</v>
      </c>
    </row>
    <row r="795" spans="11:12" x14ac:dyDescent="0.3">
      <c r="K795" s="1">
        <v>783</v>
      </c>
      <c r="L795" s="1">
        <v>-208419.11206895349</v>
      </c>
    </row>
    <row r="796" spans="11:12" x14ac:dyDescent="0.3">
      <c r="K796" s="1">
        <v>784</v>
      </c>
      <c r="L796" s="1">
        <v>555014.9049084431</v>
      </c>
    </row>
    <row r="797" spans="11:12" x14ac:dyDescent="0.3">
      <c r="K797" s="1">
        <v>785</v>
      </c>
      <c r="L797" s="1">
        <v>627984.97018687322</v>
      </c>
    </row>
    <row r="798" spans="11:12" x14ac:dyDescent="0.3">
      <c r="K798" s="1">
        <v>786</v>
      </c>
      <c r="L798" s="1">
        <v>604589.43462670594</v>
      </c>
    </row>
    <row r="799" spans="11:12" x14ac:dyDescent="0.3">
      <c r="K799" s="1">
        <v>787</v>
      </c>
      <c r="L799" s="1">
        <v>889269.77599824965</v>
      </c>
    </row>
    <row r="800" spans="11:12" x14ac:dyDescent="0.3">
      <c r="K800" s="1">
        <v>788</v>
      </c>
      <c r="L800" s="1">
        <v>370291.85058527894</v>
      </c>
    </row>
    <row r="801" spans="11:12" x14ac:dyDescent="0.3">
      <c r="K801" s="1">
        <v>789</v>
      </c>
      <c r="L801" s="1">
        <v>3159083.7012441456</v>
      </c>
    </row>
    <row r="802" spans="11:12" x14ac:dyDescent="0.3">
      <c r="K802" s="1">
        <v>790</v>
      </c>
      <c r="L802" s="1">
        <v>2544531.9358689301</v>
      </c>
    </row>
    <row r="803" spans="11:12" x14ac:dyDescent="0.3">
      <c r="K803" s="1">
        <v>791</v>
      </c>
      <c r="L803" s="1">
        <v>301562.48137742653</v>
      </c>
    </row>
    <row r="804" spans="11:12" x14ac:dyDescent="0.3">
      <c r="K804" s="1">
        <v>792</v>
      </c>
      <c r="L804" s="1">
        <v>683255.6463861349</v>
      </c>
    </row>
    <row r="805" spans="11:12" x14ac:dyDescent="0.3">
      <c r="K805" s="1">
        <v>793</v>
      </c>
      <c r="L805" s="1">
        <v>2173347.9441926139</v>
      </c>
    </row>
    <row r="806" spans="11:12" x14ac:dyDescent="0.3">
      <c r="K806" s="1">
        <v>794</v>
      </c>
      <c r="L806" s="1">
        <v>15486.277932401805</v>
      </c>
    </row>
    <row r="807" spans="11:12" x14ac:dyDescent="0.3">
      <c r="K807" s="1">
        <v>795</v>
      </c>
      <c r="L807" s="1">
        <v>3004973.045937804</v>
      </c>
    </row>
    <row r="808" spans="11:12" x14ac:dyDescent="0.3">
      <c r="K808" s="1">
        <v>796</v>
      </c>
      <c r="L808" s="1">
        <v>351065.47373461584</v>
      </c>
    </row>
    <row r="809" spans="11:12" x14ac:dyDescent="0.3">
      <c r="K809" s="1">
        <v>797</v>
      </c>
      <c r="L809" s="1">
        <v>1612187.7730492642</v>
      </c>
    </row>
    <row r="810" spans="11:12" x14ac:dyDescent="0.3">
      <c r="K810" s="1">
        <v>798</v>
      </c>
      <c r="L810" s="1">
        <v>3454155.1830183221</v>
      </c>
    </row>
    <row r="811" spans="11:12" x14ac:dyDescent="0.3">
      <c r="K811" s="1">
        <v>799</v>
      </c>
      <c r="L811" s="1">
        <v>2636896.5847248314</v>
      </c>
    </row>
    <row r="812" spans="11:12" x14ac:dyDescent="0.3">
      <c r="K812" s="1">
        <v>800</v>
      </c>
      <c r="L812" s="1">
        <v>-110313.58741829751</v>
      </c>
    </row>
    <row r="813" spans="11:12" x14ac:dyDescent="0.3">
      <c r="K813" s="1">
        <v>801</v>
      </c>
      <c r="L813" s="1">
        <v>1495276.6278799954</v>
      </c>
    </row>
    <row r="814" spans="11:12" x14ac:dyDescent="0.3">
      <c r="K814" s="1">
        <v>802</v>
      </c>
      <c r="L814" s="1">
        <v>1752448.754896577</v>
      </c>
    </row>
    <row r="815" spans="11:12" x14ac:dyDescent="0.3">
      <c r="K815" s="1">
        <v>803</v>
      </c>
      <c r="L815" s="1">
        <v>524392.17757540359</v>
      </c>
    </row>
    <row r="816" spans="11:12" x14ac:dyDescent="0.3">
      <c r="K816" s="1">
        <v>804</v>
      </c>
      <c r="L816" s="1">
        <v>1573960.398005751</v>
      </c>
    </row>
    <row r="817" spans="11:12" x14ac:dyDescent="0.3">
      <c r="K817" s="1">
        <v>805</v>
      </c>
      <c r="L817" s="1">
        <v>1154753.1663791928</v>
      </c>
    </row>
    <row r="818" spans="11:12" x14ac:dyDescent="0.3">
      <c r="K818" s="1">
        <v>806</v>
      </c>
      <c r="L818" s="1">
        <v>899994.33847144246</v>
      </c>
    </row>
    <row r="819" spans="11:12" x14ac:dyDescent="0.3">
      <c r="K819" s="1">
        <v>807</v>
      </c>
      <c r="L819" s="1">
        <v>2483506.3980136281</v>
      </c>
    </row>
    <row r="820" spans="11:12" x14ac:dyDescent="0.3">
      <c r="K820" s="1">
        <v>808</v>
      </c>
      <c r="L820" s="1">
        <v>1334360.4046733351</v>
      </c>
    </row>
    <row r="821" spans="11:12" x14ac:dyDescent="0.3">
      <c r="K821" s="1">
        <v>809</v>
      </c>
      <c r="L821" s="1">
        <v>1501773.208036413</v>
      </c>
    </row>
    <row r="822" spans="11:12" x14ac:dyDescent="0.3">
      <c r="K822" s="1">
        <v>810</v>
      </c>
      <c r="L822" s="1">
        <v>3962991.5190032716</v>
      </c>
    </row>
    <row r="823" spans="11:12" x14ac:dyDescent="0.3">
      <c r="K823" s="1">
        <v>811</v>
      </c>
      <c r="L823" s="1">
        <v>4760488.628652757</v>
      </c>
    </row>
    <row r="824" spans="11:12" x14ac:dyDescent="0.3">
      <c r="K824" s="1">
        <v>812</v>
      </c>
      <c r="L824" s="1">
        <v>46509.908289987885</v>
      </c>
    </row>
    <row r="825" spans="11:12" x14ac:dyDescent="0.3">
      <c r="K825" s="1">
        <v>813</v>
      </c>
      <c r="L825" s="1">
        <v>1087068.1434806238</v>
      </c>
    </row>
    <row r="826" spans="11:12" x14ac:dyDescent="0.3">
      <c r="K826" s="1">
        <v>814</v>
      </c>
      <c r="L826" s="1">
        <v>1305493.2465115171</v>
      </c>
    </row>
    <row r="827" spans="11:12" x14ac:dyDescent="0.3">
      <c r="K827" s="1">
        <v>815</v>
      </c>
      <c r="L827" s="1">
        <v>618894.76453507994</v>
      </c>
    </row>
    <row r="828" spans="11:12" x14ac:dyDescent="0.3">
      <c r="K828" s="1">
        <v>816</v>
      </c>
      <c r="L828" s="1">
        <v>986384.51075135265</v>
      </c>
    </row>
    <row r="829" spans="11:12" x14ac:dyDescent="0.3">
      <c r="K829" s="1">
        <v>817</v>
      </c>
      <c r="L829" s="1">
        <v>2058084.471000643</v>
      </c>
    </row>
    <row r="830" spans="11:12" x14ac:dyDescent="0.3">
      <c r="K830" s="1">
        <v>818</v>
      </c>
      <c r="L830" s="1">
        <v>878622.27618566086</v>
      </c>
    </row>
    <row r="831" spans="11:12" x14ac:dyDescent="0.3">
      <c r="K831" s="1">
        <v>819</v>
      </c>
      <c r="L831" s="1">
        <v>599032.50707291788</v>
      </c>
    </row>
    <row r="832" spans="11:12" x14ac:dyDescent="0.3">
      <c r="K832" s="1">
        <v>820</v>
      </c>
      <c r="L832" s="1">
        <v>1515477.8944508696</v>
      </c>
    </row>
    <row r="833" spans="11:12" x14ac:dyDescent="0.3">
      <c r="K833" s="1">
        <v>821</v>
      </c>
      <c r="L833" s="1">
        <v>2832248.0404409766</v>
      </c>
    </row>
    <row r="834" spans="11:12" x14ac:dyDescent="0.3">
      <c r="K834" s="1">
        <v>822</v>
      </c>
      <c r="L834" s="1">
        <v>506457.95449991152</v>
      </c>
    </row>
    <row r="835" spans="11:12" x14ac:dyDescent="0.3">
      <c r="K835" s="1">
        <v>823</v>
      </c>
      <c r="L835" s="1">
        <v>1179845.8649703921</v>
      </c>
    </row>
    <row r="836" spans="11:12" x14ac:dyDescent="0.3">
      <c r="K836" s="1">
        <v>824</v>
      </c>
      <c r="L836" s="1">
        <v>-78317.099923022091</v>
      </c>
    </row>
    <row r="837" spans="11:12" x14ac:dyDescent="0.3">
      <c r="K837" s="1">
        <v>825</v>
      </c>
      <c r="L837" s="1">
        <v>1292531.3533261509</v>
      </c>
    </row>
    <row r="838" spans="11:12" x14ac:dyDescent="0.3">
      <c r="K838" s="1">
        <v>826</v>
      </c>
      <c r="L838" s="1">
        <v>-235559.26480968605</v>
      </c>
    </row>
    <row r="839" spans="11:12" x14ac:dyDescent="0.3">
      <c r="K839" s="1">
        <v>827</v>
      </c>
      <c r="L839" s="1">
        <v>1251613.6612725542</v>
      </c>
    </row>
    <row r="840" spans="11:12" x14ac:dyDescent="0.3">
      <c r="K840" s="1">
        <v>828</v>
      </c>
      <c r="L840" s="1">
        <v>1594785.6794128763</v>
      </c>
    </row>
    <row r="841" spans="11:12" x14ac:dyDescent="0.3">
      <c r="K841" s="1">
        <v>829</v>
      </c>
      <c r="L841" s="1">
        <v>902767.08891438367</v>
      </c>
    </row>
    <row r="842" spans="11:12" x14ac:dyDescent="0.3">
      <c r="K842" s="1">
        <v>830</v>
      </c>
      <c r="L842" s="1">
        <v>2615163.5949337846</v>
      </c>
    </row>
    <row r="843" spans="11:12" x14ac:dyDescent="0.3">
      <c r="K843" s="1">
        <v>831</v>
      </c>
      <c r="L843" s="1">
        <v>754592.62222245429</v>
      </c>
    </row>
    <row r="844" spans="11:12" x14ac:dyDescent="0.3">
      <c r="K844" s="1">
        <v>832</v>
      </c>
      <c r="L844" s="1">
        <v>-743552.40863109147</v>
      </c>
    </row>
    <row r="845" spans="11:12" x14ac:dyDescent="0.3">
      <c r="K845" s="1">
        <v>833</v>
      </c>
      <c r="L845" s="1">
        <v>1100006.3807342239</v>
      </c>
    </row>
    <row r="846" spans="11:12" x14ac:dyDescent="0.3">
      <c r="K846" s="1">
        <v>834</v>
      </c>
      <c r="L846" s="1">
        <v>35605.498229693068</v>
      </c>
    </row>
    <row r="847" spans="11:12" x14ac:dyDescent="0.3">
      <c r="K847" s="1">
        <v>835</v>
      </c>
      <c r="L847" s="1">
        <v>1946975.0383876143</v>
      </c>
    </row>
    <row r="848" spans="11:12" x14ac:dyDescent="0.3">
      <c r="K848" s="1">
        <v>836</v>
      </c>
      <c r="L848" s="1">
        <v>-156233.39373114696</v>
      </c>
    </row>
    <row r="849" spans="11:12" x14ac:dyDescent="0.3">
      <c r="K849" s="1">
        <v>837</v>
      </c>
      <c r="L849" s="1">
        <v>2077929.5225872071</v>
      </c>
    </row>
    <row r="850" spans="11:12" x14ac:dyDescent="0.3">
      <c r="K850" s="1">
        <v>838</v>
      </c>
      <c r="L850" s="1">
        <v>316094.38293201756</v>
      </c>
    </row>
    <row r="851" spans="11:12" x14ac:dyDescent="0.3">
      <c r="K851" s="1">
        <v>839</v>
      </c>
      <c r="L851" s="1">
        <v>660529.28634814313</v>
      </c>
    </row>
    <row r="852" spans="11:12" x14ac:dyDescent="0.3">
      <c r="K852" s="1">
        <v>840</v>
      </c>
      <c r="L852" s="1">
        <v>138723.76523746713</v>
      </c>
    </row>
    <row r="853" spans="11:12" x14ac:dyDescent="0.3">
      <c r="K853" s="1">
        <v>841</v>
      </c>
      <c r="L853" s="1">
        <v>1933125.3931216085</v>
      </c>
    </row>
    <row r="854" spans="11:12" x14ac:dyDescent="0.3">
      <c r="K854" s="1">
        <v>842</v>
      </c>
      <c r="L854" s="1">
        <v>1825900.2378206025</v>
      </c>
    </row>
    <row r="855" spans="11:12" x14ac:dyDescent="0.3">
      <c r="K855" s="1">
        <v>843</v>
      </c>
      <c r="L855" s="1">
        <v>1003847.4083739584</v>
      </c>
    </row>
    <row r="856" spans="11:12" x14ac:dyDescent="0.3">
      <c r="K856" s="1">
        <v>844</v>
      </c>
      <c r="L856" s="1">
        <v>1471835.1424952606</v>
      </c>
    </row>
    <row r="857" spans="11:12" x14ac:dyDescent="0.3">
      <c r="K857" s="1">
        <v>845</v>
      </c>
      <c r="L857" s="1">
        <v>1567744.1889503074</v>
      </c>
    </row>
    <row r="858" spans="11:12" x14ac:dyDescent="0.3">
      <c r="K858" s="1">
        <v>846</v>
      </c>
      <c r="L858" s="1">
        <v>-89957.614803541117</v>
      </c>
    </row>
    <row r="859" spans="11:12" x14ac:dyDescent="0.3">
      <c r="K859" s="1">
        <v>847</v>
      </c>
      <c r="L859" s="1">
        <v>1138531.1325881206</v>
      </c>
    </row>
    <row r="860" spans="11:12" x14ac:dyDescent="0.3">
      <c r="K860" s="1">
        <v>848</v>
      </c>
      <c r="L860" s="1">
        <v>1341790.9621419215</v>
      </c>
    </row>
    <row r="861" spans="11:12" x14ac:dyDescent="0.3">
      <c r="K861" s="1">
        <v>849</v>
      </c>
      <c r="L861" s="1">
        <v>891581.04767681751</v>
      </c>
    </row>
    <row r="862" spans="11:12" x14ac:dyDescent="0.3">
      <c r="K862" s="1">
        <v>850</v>
      </c>
      <c r="L862" s="1">
        <v>1803307.082022557</v>
      </c>
    </row>
    <row r="863" spans="11:12" x14ac:dyDescent="0.3">
      <c r="K863" s="1">
        <v>851</v>
      </c>
      <c r="L863" s="1">
        <v>1039898.5543659432</v>
      </c>
    </row>
    <row r="864" spans="11:12" x14ac:dyDescent="0.3">
      <c r="K864" s="1">
        <v>852</v>
      </c>
      <c r="L864" s="1">
        <v>1935621.8405260048</v>
      </c>
    </row>
    <row r="865" spans="11:12" x14ac:dyDescent="0.3">
      <c r="K865" s="1">
        <v>853</v>
      </c>
      <c r="L865" s="1">
        <v>1170105.6021032585</v>
      </c>
    </row>
    <row r="866" spans="11:12" x14ac:dyDescent="0.3">
      <c r="K866" s="1">
        <v>854</v>
      </c>
      <c r="L866" s="1">
        <v>404529.06916846067</v>
      </c>
    </row>
    <row r="867" spans="11:12" x14ac:dyDescent="0.3">
      <c r="K867" s="1">
        <v>855</v>
      </c>
      <c r="L867" s="1">
        <v>628988.54310265859</v>
      </c>
    </row>
    <row r="868" spans="11:12" x14ac:dyDescent="0.3">
      <c r="K868" s="1">
        <v>856</v>
      </c>
      <c r="L868" s="1">
        <v>922154.2165045978</v>
      </c>
    </row>
    <row r="869" spans="11:12" x14ac:dyDescent="0.3">
      <c r="K869" s="1">
        <v>857</v>
      </c>
      <c r="L869" s="1">
        <v>2590729.311789366</v>
      </c>
    </row>
    <row r="870" spans="11:12" x14ac:dyDescent="0.3">
      <c r="K870" s="1">
        <v>858</v>
      </c>
      <c r="L870" s="1">
        <v>528217.79782833438</v>
      </c>
    </row>
    <row r="871" spans="11:12" x14ac:dyDescent="0.3">
      <c r="K871" s="1">
        <v>859</v>
      </c>
      <c r="L871" s="1">
        <v>487545.91235234437</v>
      </c>
    </row>
    <row r="872" spans="11:12" x14ac:dyDescent="0.3">
      <c r="K872" s="1">
        <v>860</v>
      </c>
      <c r="L872" s="1">
        <v>211234.70195741451</v>
      </c>
    </row>
    <row r="873" spans="11:12" x14ac:dyDescent="0.3">
      <c r="K873" s="1">
        <v>861</v>
      </c>
      <c r="L873" s="1">
        <v>672352.81916696229</v>
      </c>
    </row>
    <row r="874" spans="11:12" x14ac:dyDescent="0.3">
      <c r="K874" s="1">
        <v>862</v>
      </c>
      <c r="L874" s="1">
        <v>1028370.0168808424</v>
      </c>
    </row>
    <row r="875" spans="11:12" x14ac:dyDescent="0.3">
      <c r="K875" s="1">
        <v>863</v>
      </c>
      <c r="L875" s="1">
        <v>974657.55755404895</v>
      </c>
    </row>
    <row r="876" spans="11:12" x14ac:dyDescent="0.3">
      <c r="K876" s="1">
        <v>864</v>
      </c>
      <c r="L876" s="1">
        <v>-142519.09933936701</v>
      </c>
    </row>
    <row r="877" spans="11:12" x14ac:dyDescent="0.3">
      <c r="K877" s="1">
        <v>865</v>
      </c>
      <c r="L877" s="1">
        <v>2935208.5262843217</v>
      </c>
    </row>
    <row r="878" spans="11:12" x14ac:dyDescent="0.3">
      <c r="K878" s="1">
        <v>866</v>
      </c>
      <c r="L878" s="1">
        <v>1337957.2574142432</v>
      </c>
    </row>
    <row r="879" spans="11:12" x14ac:dyDescent="0.3">
      <c r="K879" s="1">
        <v>867</v>
      </c>
      <c r="L879" s="1">
        <v>645221.00443994359</v>
      </c>
    </row>
    <row r="880" spans="11:12" x14ac:dyDescent="0.3">
      <c r="K880" s="1">
        <v>868</v>
      </c>
      <c r="L880" s="1">
        <v>2300666.2015041858</v>
      </c>
    </row>
    <row r="881" spans="11:12" x14ac:dyDescent="0.3">
      <c r="K881" s="1">
        <v>869</v>
      </c>
      <c r="L881" s="1">
        <v>1383824.0142278422</v>
      </c>
    </row>
    <row r="882" spans="11:12" x14ac:dyDescent="0.3">
      <c r="K882" s="1">
        <v>870</v>
      </c>
      <c r="L882" s="1">
        <v>694983.84460787056</v>
      </c>
    </row>
    <row r="883" spans="11:12" x14ac:dyDescent="0.3">
      <c r="K883" s="1">
        <v>871</v>
      </c>
      <c r="L883" s="1">
        <v>1548924.3861041791</v>
      </c>
    </row>
    <row r="884" spans="11:12" x14ac:dyDescent="0.3">
      <c r="K884" s="1">
        <v>872</v>
      </c>
      <c r="L884" s="1">
        <v>2004903.5025995271</v>
      </c>
    </row>
    <row r="885" spans="11:12" x14ac:dyDescent="0.3">
      <c r="K885" s="1">
        <v>873</v>
      </c>
      <c r="L885" s="1">
        <v>883073.24428784708</v>
      </c>
    </row>
    <row r="886" spans="11:12" x14ac:dyDescent="0.3">
      <c r="K886" s="1">
        <v>874</v>
      </c>
      <c r="L886" s="1">
        <v>597428.89343252569</v>
      </c>
    </row>
    <row r="887" spans="11:12" x14ac:dyDescent="0.3">
      <c r="K887" s="1">
        <v>875</v>
      </c>
      <c r="L887" s="1">
        <v>101262.067873733</v>
      </c>
    </row>
    <row r="888" spans="11:12" x14ac:dyDescent="0.3">
      <c r="K888" s="1">
        <v>876</v>
      </c>
      <c r="L888" s="1">
        <v>2433624.946439703</v>
      </c>
    </row>
    <row r="889" spans="11:12" x14ac:dyDescent="0.3">
      <c r="K889" s="1">
        <v>877</v>
      </c>
      <c r="L889" s="1">
        <v>487403.00813615904</v>
      </c>
    </row>
    <row r="890" spans="11:12" x14ac:dyDescent="0.3">
      <c r="K890" s="1">
        <v>878</v>
      </c>
      <c r="L890" s="1">
        <v>779360.12698081136</v>
      </c>
    </row>
    <row r="891" spans="11:12" x14ac:dyDescent="0.3">
      <c r="K891" s="1">
        <v>879</v>
      </c>
      <c r="L891" s="1">
        <v>825044.00281828898</v>
      </c>
    </row>
    <row r="892" spans="11:12" x14ac:dyDescent="0.3">
      <c r="K892" s="1">
        <v>880</v>
      </c>
      <c r="L892" s="1">
        <v>1499007.1757685484</v>
      </c>
    </row>
    <row r="893" spans="11:12" x14ac:dyDescent="0.3">
      <c r="K893" s="1">
        <v>881</v>
      </c>
      <c r="L893" s="1">
        <v>576918.33289506403</v>
      </c>
    </row>
    <row r="894" spans="11:12" x14ac:dyDescent="0.3">
      <c r="K894" s="1">
        <v>882</v>
      </c>
      <c r="L894" s="1">
        <v>1010743.2022508527</v>
      </c>
    </row>
    <row r="895" spans="11:12" x14ac:dyDescent="0.3">
      <c r="K895" s="1">
        <v>883</v>
      </c>
      <c r="L895" s="1">
        <v>2388224.7401838982</v>
      </c>
    </row>
    <row r="896" spans="11:12" x14ac:dyDescent="0.3">
      <c r="K896" s="1">
        <v>884</v>
      </c>
      <c r="L896" s="1">
        <v>493.20358350305469</v>
      </c>
    </row>
    <row r="897" spans="11:12" x14ac:dyDescent="0.3">
      <c r="K897" s="1">
        <v>885</v>
      </c>
      <c r="L897" s="1">
        <v>1410530.590549194</v>
      </c>
    </row>
    <row r="898" spans="11:12" x14ac:dyDescent="0.3">
      <c r="K898" s="1">
        <v>886</v>
      </c>
      <c r="L898" s="1">
        <v>4346230.1631161645</v>
      </c>
    </row>
    <row r="899" spans="11:12" x14ac:dyDescent="0.3">
      <c r="K899" s="1">
        <v>887</v>
      </c>
      <c r="L899" s="1">
        <v>3234085.2373329625</v>
      </c>
    </row>
    <row r="900" spans="11:12" x14ac:dyDescent="0.3">
      <c r="K900" s="1">
        <v>888</v>
      </c>
      <c r="L900" s="1">
        <v>-150756.14480228478</v>
      </c>
    </row>
    <row r="901" spans="11:12" x14ac:dyDescent="0.3">
      <c r="K901" s="1">
        <v>889</v>
      </c>
      <c r="L901" s="1">
        <v>2239031.6953006554</v>
      </c>
    </row>
    <row r="902" spans="11:12" x14ac:dyDescent="0.3">
      <c r="K902" s="1">
        <v>890</v>
      </c>
      <c r="L902" s="1">
        <v>-133473.26940417889</v>
      </c>
    </row>
    <row r="903" spans="11:12" x14ac:dyDescent="0.3">
      <c r="K903" s="1">
        <v>891</v>
      </c>
      <c r="L903" s="1">
        <v>593689.34617210447</v>
      </c>
    </row>
    <row r="904" spans="11:12" x14ac:dyDescent="0.3">
      <c r="K904" s="1">
        <v>892</v>
      </c>
      <c r="L904" s="1">
        <v>2082677.7284170128</v>
      </c>
    </row>
    <row r="905" spans="11:12" x14ac:dyDescent="0.3">
      <c r="K905" s="1">
        <v>893</v>
      </c>
      <c r="L905" s="1">
        <v>1268409.1849336654</v>
      </c>
    </row>
    <row r="906" spans="11:12" x14ac:dyDescent="0.3">
      <c r="K906" s="1">
        <v>894</v>
      </c>
      <c r="L906" s="1">
        <v>1116836.3042264991</v>
      </c>
    </row>
    <row r="907" spans="11:12" x14ac:dyDescent="0.3">
      <c r="K907" s="1">
        <v>895</v>
      </c>
      <c r="L907" s="1">
        <v>667180.89869858394</v>
      </c>
    </row>
    <row r="908" spans="11:12" x14ac:dyDescent="0.3">
      <c r="K908" s="1">
        <v>896</v>
      </c>
      <c r="L908" s="1">
        <v>1798386.4987698095</v>
      </c>
    </row>
    <row r="909" spans="11:12" x14ac:dyDescent="0.3">
      <c r="K909" s="1">
        <v>897</v>
      </c>
      <c r="L909" s="1">
        <v>261177.41191234364</v>
      </c>
    </row>
    <row r="910" spans="11:12" x14ac:dyDescent="0.3">
      <c r="K910" s="1">
        <v>898</v>
      </c>
      <c r="L910" s="1">
        <v>466048.14021889656</v>
      </c>
    </row>
    <row r="911" spans="11:12" x14ac:dyDescent="0.3">
      <c r="K911" s="1">
        <v>899</v>
      </c>
      <c r="L911" s="1">
        <v>936468.51162557607</v>
      </c>
    </row>
    <row r="912" spans="11:12" x14ac:dyDescent="0.3">
      <c r="K912" s="1">
        <v>900</v>
      </c>
      <c r="L912" s="1">
        <v>1646910.5930216806</v>
      </c>
    </row>
    <row r="913" spans="11:12" x14ac:dyDescent="0.3">
      <c r="K913" s="1">
        <v>901</v>
      </c>
      <c r="L913" s="1">
        <v>1826091.2410216704</v>
      </c>
    </row>
    <row r="914" spans="11:12" x14ac:dyDescent="0.3">
      <c r="K914" s="1">
        <v>902</v>
      </c>
      <c r="L914" s="1">
        <v>2680723.338172514</v>
      </c>
    </row>
    <row r="915" spans="11:12" x14ac:dyDescent="0.3">
      <c r="K915" s="1">
        <v>903</v>
      </c>
      <c r="L915" s="1">
        <v>176324.59923315339</v>
      </c>
    </row>
    <row r="916" spans="11:12" x14ac:dyDescent="0.3">
      <c r="K916" s="1">
        <v>904</v>
      </c>
      <c r="L916" s="1">
        <v>66280.340691238118</v>
      </c>
    </row>
    <row r="917" spans="11:12" x14ac:dyDescent="0.3">
      <c r="K917" s="1">
        <v>905</v>
      </c>
      <c r="L917" s="1">
        <v>1390555.697977548</v>
      </c>
    </row>
    <row r="918" spans="11:12" x14ac:dyDescent="0.3">
      <c r="K918" s="1">
        <v>906</v>
      </c>
      <c r="L918" s="1">
        <v>2097242.4476069389</v>
      </c>
    </row>
    <row r="919" spans="11:12" x14ac:dyDescent="0.3">
      <c r="K919" s="1">
        <v>907</v>
      </c>
      <c r="L919" s="1">
        <v>-214818.15038316665</v>
      </c>
    </row>
    <row r="920" spans="11:12" x14ac:dyDescent="0.3">
      <c r="K920" s="1">
        <v>908</v>
      </c>
      <c r="L920" s="1">
        <v>1333471.0261929992</v>
      </c>
    </row>
    <row r="921" spans="11:12" x14ac:dyDescent="0.3">
      <c r="K921" s="1">
        <v>909</v>
      </c>
      <c r="L921" s="1">
        <v>898879.99906662945</v>
      </c>
    </row>
    <row r="922" spans="11:12" x14ac:dyDescent="0.3">
      <c r="K922" s="1">
        <v>910</v>
      </c>
      <c r="L922" s="1">
        <v>634297.52234850836</v>
      </c>
    </row>
    <row r="923" spans="11:12" x14ac:dyDescent="0.3">
      <c r="K923" s="1">
        <v>911</v>
      </c>
      <c r="L923" s="1">
        <v>-251230.74930339147</v>
      </c>
    </row>
    <row r="924" spans="11:12" x14ac:dyDescent="0.3">
      <c r="K924" s="1">
        <v>912</v>
      </c>
      <c r="L924" s="1">
        <v>2437421.3726712367</v>
      </c>
    </row>
    <row r="925" spans="11:12" x14ac:dyDescent="0.3">
      <c r="K925" s="1">
        <v>913</v>
      </c>
      <c r="L925" s="1">
        <v>-8177.2127188087907</v>
      </c>
    </row>
    <row r="926" spans="11:12" x14ac:dyDescent="0.3">
      <c r="K926" s="1">
        <v>914</v>
      </c>
      <c r="L926" s="1">
        <v>563205.72716459795</v>
      </c>
    </row>
    <row r="927" spans="11:12" x14ac:dyDescent="0.3">
      <c r="K927" s="1">
        <v>915</v>
      </c>
      <c r="L927" s="1">
        <v>2150872.965017844</v>
      </c>
    </row>
    <row r="928" spans="11:12" x14ac:dyDescent="0.3">
      <c r="K928" s="1">
        <v>916</v>
      </c>
      <c r="L928" s="1">
        <v>1392312.4129920895</v>
      </c>
    </row>
    <row r="929" spans="11:12" x14ac:dyDescent="0.3">
      <c r="K929" s="1">
        <v>917</v>
      </c>
      <c r="L929" s="1">
        <v>77443.661495408276</v>
      </c>
    </row>
    <row r="930" spans="11:12" x14ac:dyDescent="0.3">
      <c r="K930" s="1">
        <v>918</v>
      </c>
      <c r="L930" s="1">
        <v>1113606.7557338898</v>
      </c>
    </row>
    <row r="931" spans="11:12" x14ac:dyDescent="0.3">
      <c r="K931" s="1">
        <v>919</v>
      </c>
      <c r="L931" s="1">
        <v>-13823.597321330075</v>
      </c>
    </row>
    <row r="932" spans="11:12" x14ac:dyDescent="0.3">
      <c r="K932" s="1">
        <v>920</v>
      </c>
      <c r="L932" s="1">
        <v>1325290.2423583125</v>
      </c>
    </row>
    <row r="933" spans="11:12" x14ac:dyDescent="0.3">
      <c r="K933" s="1">
        <v>921</v>
      </c>
      <c r="L933" s="1">
        <v>2873222.6266151592</v>
      </c>
    </row>
    <row r="934" spans="11:12" x14ac:dyDescent="0.3">
      <c r="K934" s="1">
        <v>922</v>
      </c>
      <c r="L934" s="1">
        <v>1154693.4853764712</v>
      </c>
    </row>
    <row r="935" spans="11:12" x14ac:dyDescent="0.3">
      <c r="K935" s="1">
        <v>923</v>
      </c>
      <c r="L935" s="1">
        <v>635475.44084728532</v>
      </c>
    </row>
    <row r="936" spans="11:12" x14ac:dyDescent="0.3">
      <c r="K936" s="1">
        <v>924</v>
      </c>
      <c r="L936" s="1">
        <v>1156099.2784449938</v>
      </c>
    </row>
    <row r="937" spans="11:12" x14ac:dyDescent="0.3">
      <c r="K937" s="1">
        <v>925</v>
      </c>
      <c r="L937" s="1">
        <v>1673456.8492371724</v>
      </c>
    </row>
    <row r="938" spans="11:12" x14ac:dyDescent="0.3">
      <c r="K938" s="1">
        <v>926</v>
      </c>
      <c r="L938" s="1">
        <v>4040872.1780120227</v>
      </c>
    </row>
    <row r="939" spans="11:12" x14ac:dyDescent="0.3">
      <c r="K939" s="1">
        <v>927</v>
      </c>
      <c r="L939" s="1">
        <v>2585189.8424642347</v>
      </c>
    </row>
    <row r="940" spans="11:12" x14ac:dyDescent="0.3">
      <c r="K940" s="1">
        <v>928</v>
      </c>
      <c r="L940" s="1">
        <v>637513.68734147737</v>
      </c>
    </row>
    <row r="941" spans="11:12" x14ac:dyDescent="0.3">
      <c r="K941" s="1">
        <v>929</v>
      </c>
      <c r="L941" s="1">
        <v>1185288.9983904394</v>
      </c>
    </row>
    <row r="942" spans="11:12" x14ac:dyDescent="0.3">
      <c r="K942" s="1">
        <v>930</v>
      </c>
      <c r="L942" s="1">
        <v>2920372.8904213589</v>
      </c>
    </row>
    <row r="943" spans="11:12" x14ac:dyDescent="0.3">
      <c r="K943" s="1">
        <v>931</v>
      </c>
      <c r="L943" s="1">
        <v>626259.04219097807</v>
      </c>
    </row>
    <row r="944" spans="11:12" x14ac:dyDescent="0.3">
      <c r="K944" s="1">
        <v>932</v>
      </c>
      <c r="L944" s="1">
        <v>1747341.8554311423</v>
      </c>
    </row>
    <row r="945" spans="11:12" x14ac:dyDescent="0.3">
      <c r="K945" s="1">
        <v>933</v>
      </c>
      <c r="L945" s="1">
        <v>1558284.6071493907</v>
      </c>
    </row>
    <row r="946" spans="11:12" x14ac:dyDescent="0.3">
      <c r="K946" s="1">
        <v>934</v>
      </c>
      <c r="L946" s="1">
        <v>2417871.0600209543</v>
      </c>
    </row>
    <row r="947" spans="11:12" x14ac:dyDescent="0.3">
      <c r="K947" s="1">
        <v>935</v>
      </c>
      <c r="L947" s="1">
        <v>1475546.42509788</v>
      </c>
    </row>
    <row r="948" spans="11:12" x14ac:dyDescent="0.3">
      <c r="K948" s="1">
        <v>936</v>
      </c>
      <c r="L948" s="1">
        <v>1351124.7349346848</v>
      </c>
    </row>
    <row r="949" spans="11:12" x14ac:dyDescent="0.3">
      <c r="K949" s="1">
        <v>937</v>
      </c>
      <c r="L949" s="1">
        <v>813487.83734699036</v>
      </c>
    </row>
    <row r="950" spans="11:12" x14ac:dyDescent="0.3">
      <c r="K950" s="1">
        <v>938</v>
      </c>
      <c r="L950" s="1">
        <v>740698.02462364966</v>
      </c>
    </row>
    <row r="951" spans="11:12" x14ac:dyDescent="0.3">
      <c r="K951" s="1">
        <v>939</v>
      </c>
      <c r="L951" s="1">
        <v>3322973.5038206093</v>
      </c>
    </row>
    <row r="952" spans="11:12" x14ac:dyDescent="0.3">
      <c r="K952" s="1">
        <v>940</v>
      </c>
      <c r="L952" s="1">
        <v>1984504.5710548311</v>
      </c>
    </row>
    <row r="953" spans="11:12" x14ac:dyDescent="0.3">
      <c r="K953" s="1">
        <v>941</v>
      </c>
      <c r="L953" s="1">
        <v>1788258.6334943983</v>
      </c>
    </row>
    <row r="954" spans="11:12" x14ac:dyDescent="0.3">
      <c r="K954" s="1">
        <v>942</v>
      </c>
      <c r="L954" s="1">
        <v>2489478.4960541436</v>
      </c>
    </row>
    <row r="955" spans="11:12" x14ac:dyDescent="0.3">
      <c r="K955" s="1">
        <v>943</v>
      </c>
      <c r="L955" s="1">
        <v>1125013.4661452952</v>
      </c>
    </row>
    <row r="956" spans="11:12" x14ac:dyDescent="0.3">
      <c r="K956" s="1">
        <v>944</v>
      </c>
      <c r="L956" s="1">
        <v>1160062.7062270851</v>
      </c>
    </row>
    <row r="957" spans="11:12" x14ac:dyDescent="0.3">
      <c r="K957" s="1">
        <v>945</v>
      </c>
      <c r="L957" s="1">
        <v>5313101.5539676212</v>
      </c>
    </row>
    <row r="958" spans="11:12" x14ac:dyDescent="0.3">
      <c r="K958" s="1">
        <v>946</v>
      </c>
      <c r="L958" s="1">
        <v>960920.81138356403</v>
      </c>
    </row>
    <row r="959" spans="11:12" x14ac:dyDescent="0.3">
      <c r="K959" s="1">
        <v>947</v>
      </c>
      <c r="L959" s="1">
        <v>281057.96821148705</v>
      </c>
    </row>
    <row r="960" spans="11:12" x14ac:dyDescent="0.3">
      <c r="K960" s="1">
        <v>948</v>
      </c>
      <c r="L960" s="1">
        <v>1576470.7641640194</v>
      </c>
    </row>
    <row r="961" spans="11:12" x14ac:dyDescent="0.3">
      <c r="K961" s="1">
        <v>949</v>
      </c>
      <c r="L961" s="1">
        <v>370818.11881725397</v>
      </c>
    </row>
    <row r="962" spans="11:12" x14ac:dyDescent="0.3">
      <c r="K962" s="1">
        <v>950</v>
      </c>
      <c r="L962" s="1">
        <v>1960499.8346019303</v>
      </c>
    </row>
    <row r="963" spans="11:12" x14ac:dyDescent="0.3">
      <c r="K963" s="1">
        <v>951</v>
      </c>
      <c r="L963" s="1">
        <v>614822.75912453444</v>
      </c>
    </row>
    <row r="964" spans="11:12" x14ac:dyDescent="0.3">
      <c r="K964" s="1">
        <v>952</v>
      </c>
      <c r="L964" s="1">
        <v>1177635.4412622368</v>
      </c>
    </row>
    <row r="965" spans="11:12" x14ac:dyDescent="0.3">
      <c r="K965" s="1">
        <v>953</v>
      </c>
      <c r="L965" s="1">
        <v>1184101.434049305</v>
      </c>
    </row>
    <row r="966" spans="11:12" x14ac:dyDescent="0.3">
      <c r="K966" s="1">
        <v>954</v>
      </c>
      <c r="L966" s="1">
        <v>2797124.4815766257</v>
      </c>
    </row>
    <row r="967" spans="11:12" x14ac:dyDescent="0.3">
      <c r="K967" s="1">
        <v>955</v>
      </c>
      <c r="L967" s="1">
        <v>691268.55167203618</v>
      </c>
    </row>
    <row r="968" spans="11:12" x14ac:dyDescent="0.3">
      <c r="K968" s="1">
        <v>956</v>
      </c>
      <c r="L968" s="1">
        <v>1494736.3417984655</v>
      </c>
    </row>
    <row r="969" spans="11:12" x14ac:dyDescent="0.3">
      <c r="K969" s="1">
        <v>957</v>
      </c>
      <c r="L969" s="1">
        <v>-16045.700476174126</v>
      </c>
    </row>
    <row r="970" spans="11:12" x14ac:dyDescent="0.3">
      <c r="K970" s="1">
        <v>958</v>
      </c>
      <c r="L970" s="1">
        <v>2090425.8336427398</v>
      </c>
    </row>
    <row r="971" spans="11:12" x14ac:dyDescent="0.3">
      <c r="K971" s="1">
        <v>959</v>
      </c>
      <c r="L971" s="1">
        <v>648355.51107625617</v>
      </c>
    </row>
    <row r="972" spans="11:12" x14ac:dyDescent="0.3">
      <c r="K972" s="1">
        <v>960</v>
      </c>
      <c r="L972" s="1">
        <v>2240103.9197926791</v>
      </c>
    </row>
    <row r="973" spans="11:12" x14ac:dyDescent="0.3">
      <c r="K973" s="1">
        <v>961</v>
      </c>
      <c r="L973" s="1">
        <v>1589602.9218326069</v>
      </c>
    </row>
    <row r="974" spans="11:12" x14ac:dyDescent="0.3">
      <c r="K974" s="1">
        <v>962</v>
      </c>
      <c r="L974" s="1">
        <v>1870527.3983119964</v>
      </c>
    </row>
    <row r="975" spans="11:12" x14ac:dyDescent="0.3">
      <c r="K975" s="1">
        <v>963</v>
      </c>
      <c r="L975" s="1">
        <v>2133438.7830467466</v>
      </c>
    </row>
    <row r="976" spans="11:12" x14ac:dyDescent="0.3">
      <c r="K976" s="1">
        <v>964</v>
      </c>
      <c r="L976" s="1">
        <v>1872159.1284013118</v>
      </c>
    </row>
    <row r="977" spans="11:12" x14ac:dyDescent="0.3">
      <c r="K977" s="1">
        <v>965</v>
      </c>
      <c r="L977" s="1">
        <v>395722.41816857888</v>
      </c>
    </row>
    <row r="978" spans="11:12" x14ac:dyDescent="0.3">
      <c r="K978" s="1">
        <v>966</v>
      </c>
      <c r="L978" s="1">
        <v>2577103.3760491004</v>
      </c>
    </row>
    <row r="979" spans="11:12" x14ac:dyDescent="0.3">
      <c r="K979" s="1">
        <v>967</v>
      </c>
      <c r="L979" s="1">
        <v>1161839.3678379399</v>
      </c>
    </row>
    <row r="980" spans="11:12" x14ac:dyDescent="0.3">
      <c r="K980" s="1">
        <v>968</v>
      </c>
      <c r="L980" s="1">
        <v>542149.24674425926</v>
      </c>
    </row>
    <row r="981" spans="11:12" x14ac:dyDescent="0.3">
      <c r="K981" s="1">
        <v>969</v>
      </c>
      <c r="L981" s="1">
        <v>1078305.4688354302</v>
      </c>
    </row>
    <row r="982" spans="11:12" x14ac:dyDescent="0.3">
      <c r="K982" s="1">
        <v>970</v>
      </c>
      <c r="L982" s="1">
        <v>26320.195392823021</v>
      </c>
    </row>
    <row r="983" spans="11:12" x14ac:dyDescent="0.3">
      <c r="K983" s="1">
        <v>971</v>
      </c>
      <c r="L983" s="1">
        <v>2415458.6522283657</v>
      </c>
    </row>
    <row r="984" spans="11:12" x14ac:dyDescent="0.3">
      <c r="K984" s="1">
        <v>972</v>
      </c>
      <c r="L984" s="1">
        <v>1042199.8544387941</v>
      </c>
    </row>
    <row r="985" spans="11:12" x14ac:dyDescent="0.3">
      <c r="K985" s="1">
        <v>973</v>
      </c>
      <c r="L985" s="1">
        <v>1472105.1927421526</v>
      </c>
    </row>
    <row r="986" spans="11:12" x14ac:dyDescent="0.3">
      <c r="K986" s="1">
        <v>974</v>
      </c>
      <c r="L986" s="1">
        <v>3820866.2025443781</v>
      </c>
    </row>
    <row r="987" spans="11:12" x14ac:dyDescent="0.3">
      <c r="K987" s="1">
        <v>975</v>
      </c>
      <c r="L987" s="1">
        <v>582313.83704565826</v>
      </c>
    </row>
    <row r="988" spans="11:12" x14ac:dyDescent="0.3">
      <c r="K988" s="1">
        <v>976</v>
      </c>
      <c r="L988" s="1">
        <v>2605327.0648735976</v>
      </c>
    </row>
    <row r="989" spans="11:12" x14ac:dyDescent="0.3">
      <c r="K989" s="1">
        <v>977</v>
      </c>
      <c r="L989" s="1">
        <v>767779.73126305162</v>
      </c>
    </row>
    <row r="990" spans="11:12" x14ac:dyDescent="0.3">
      <c r="K990" s="1">
        <v>978</v>
      </c>
      <c r="L990" s="1">
        <v>2090488.7480423469</v>
      </c>
    </row>
    <row r="991" spans="11:12" x14ac:dyDescent="0.3">
      <c r="K991" s="1">
        <v>979</v>
      </c>
      <c r="L991" s="1">
        <v>2303578.6878690366</v>
      </c>
    </row>
    <row r="992" spans="11:12" x14ac:dyDescent="0.3">
      <c r="K992" s="1">
        <v>980</v>
      </c>
      <c r="L992" s="1">
        <v>1789643.389695199</v>
      </c>
    </row>
    <row r="993" spans="11:12" x14ac:dyDescent="0.3">
      <c r="K993" s="1">
        <v>981</v>
      </c>
      <c r="L993" s="1">
        <v>2505273.0846054545</v>
      </c>
    </row>
    <row r="994" spans="11:12" x14ac:dyDescent="0.3">
      <c r="K994" s="1">
        <v>982</v>
      </c>
      <c r="L994" s="1">
        <v>1844317.8450034857</v>
      </c>
    </row>
    <row r="995" spans="11:12" x14ac:dyDescent="0.3">
      <c r="K995" s="1">
        <v>983</v>
      </c>
      <c r="L995" s="1">
        <v>695738.03676075302</v>
      </c>
    </row>
    <row r="996" spans="11:12" x14ac:dyDescent="0.3">
      <c r="K996" s="1">
        <v>984</v>
      </c>
      <c r="L996" s="1">
        <v>2170563.0833221287</v>
      </c>
    </row>
    <row r="997" spans="11:12" x14ac:dyDescent="0.3">
      <c r="K997" s="1">
        <v>985</v>
      </c>
      <c r="L997" s="1">
        <v>2047536.4223737018</v>
      </c>
    </row>
    <row r="998" spans="11:12" x14ac:dyDescent="0.3">
      <c r="K998" s="1">
        <v>986</v>
      </c>
      <c r="L998" s="1">
        <v>1698773.3077688862</v>
      </c>
    </row>
    <row r="999" spans="11:12" x14ac:dyDescent="0.3">
      <c r="K999" s="1">
        <v>987</v>
      </c>
      <c r="L999" s="1">
        <v>188559.90079903312</v>
      </c>
    </row>
    <row r="1000" spans="11:12" x14ac:dyDescent="0.3">
      <c r="K1000" s="1">
        <v>988</v>
      </c>
      <c r="L1000" s="1">
        <v>164971.93975944188</v>
      </c>
    </row>
    <row r="1001" spans="11:12" x14ac:dyDescent="0.3">
      <c r="K1001" s="1">
        <v>989</v>
      </c>
      <c r="L1001" s="1">
        <v>101357.89292907406</v>
      </c>
    </row>
    <row r="1002" spans="11:12" x14ac:dyDescent="0.3">
      <c r="K1002" s="1">
        <v>990</v>
      </c>
      <c r="L1002" s="1">
        <v>1333306.873285132</v>
      </c>
    </row>
    <row r="1003" spans="11:12" x14ac:dyDescent="0.3">
      <c r="K1003" s="1">
        <v>991</v>
      </c>
      <c r="L1003" s="1">
        <v>672828.60524400184</v>
      </c>
    </row>
    <row r="1004" spans="11:12" x14ac:dyDescent="0.3">
      <c r="K1004" s="1">
        <v>992</v>
      </c>
      <c r="L1004" s="1">
        <v>1324329.854564548</v>
      </c>
    </row>
    <row r="1005" spans="11:12" x14ac:dyDescent="0.3">
      <c r="K1005" s="1">
        <v>993</v>
      </c>
      <c r="L1005" s="1">
        <v>931459.389520725</v>
      </c>
    </row>
    <row r="1006" spans="11:12" x14ac:dyDescent="0.3">
      <c r="K1006" s="1">
        <v>994</v>
      </c>
      <c r="L1006" s="1">
        <v>-4795.8672447722347</v>
      </c>
    </row>
    <row r="1007" spans="11:12" x14ac:dyDescent="0.3">
      <c r="K1007" s="1">
        <v>995</v>
      </c>
      <c r="L1007" s="1">
        <v>431176.09356864064</v>
      </c>
    </row>
    <row r="1008" spans="11:12" x14ac:dyDescent="0.3">
      <c r="K1008" s="1">
        <v>996</v>
      </c>
      <c r="L1008" s="1">
        <v>281722.9964944477</v>
      </c>
    </row>
    <row r="1009" spans="11:12" x14ac:dyDescent="0.3">
      <c r="K1009" s="1">
        <v>997</v>
      </c>
      <c r="L1009" s="1">
        <v>2528043.5277379844</v>
      </c>
    </row>
    <row r="1010" spans="11:12" x14ac:dyDescent="0.3">
      <c r="K1010" s="1">
        <v>998</v>
      </c>
      <c r="L1010" s="1">
        <v>1155728.0010299736</v>
      </c>
    </row>
    <row r="1011" spans="11:12" x14ac:dyDescent="0.3">
      <c r="K1011" s="1">
        <v>999</v>
      </c>
      <c r="L1011" s="1">
        <v>1780689.8521463792</v>
      </c>
    </row>
    <row r="1012" spans="11:12" x14ac:dyDescent="0.3">
      <c r="K1012" s="1">
        <v>1000</v>
      </c>
      <c r="L1012" s="1">
        <v>1204643.403431579</v>
      </c>
    </row>
  </sheetData>
  <autoFilter ref="A12:H22" xr:uid="{00000000-0009-0000-0000-000000000000}"/>
  <mergeCells count="2">
    <mergeCell ref="A1:H1"/>
    <mergeCell ref="K8:R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Monte Carlo Wealth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Brahmarshi</cp:lastModifiedBy>
  <dcterms:created xsi:type="dcterms:W3CDTF">2026-09-25T10:48:36Z</dcterms:created>
  <dcterms:modified xsi:type="dcterms:W3CDTF">2026-09-25T11:20:55Z</dcterms:modified>
</cp:coreProperties>
</file>